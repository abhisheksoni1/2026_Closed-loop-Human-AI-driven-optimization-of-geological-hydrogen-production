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<sst xmlns="http://schemas.openxmlformats.org/spreadsheetml/2006/main" count="157" uniqueCount="149">
  <si>
    <t>Type</t>
  </si>
  <si>
    <t>Temperature</t>
  </si>
  <si>
    <t>Water</t>
  </si>
  <si>
    <t>2M FeCl2</t>
  </si>
  <si>
    <t>1M MgCl2</t>
  </si>
  <si>
    <t>4M NaCl</t>
  </si>
  <si>
    <t>1M NaHCO3</t>
  </si>
  <si>
    <t>0.25M Surfactant</t>
  </si>
  <si>
    <t>0.005M NiCl2</t>
  </si>
  <si>
    <t>0.005M CuCl2</t>
  </si>
  <si>
    <t>2.75M NaOH</t>
  </si>
  <si>
    <t>H2 (ppm)</t>
  </si>
  <si>
    <t>Initialization1</t>
  </si>
  <si>
    <t>Initialization2</t>
  </si>
  <si>
    <t>Initialization3</t>
  </si>
  <si>
    <t>Initialization4</t>
  </si>
  <si>
    <t>Initialization5</t>
  </si>
  <si>
    <t>Initialization6</t>
  </si>
  <si>
    <t>Initialization7</t>
  </si>
  <si>
    <t>Initialization8</t>
  </si>
  <si>
    <t>Initialization9</t>
  </si>
  <si>
    <t>Initialization10</t>
  </si>
  <si>
    <t>Initialization11</t>
  </si>
  <si>
    <t>Initialization12</t>
  </si>
  <si>
    <t>Initialization13</t>
  </si>
  <si>
    <t>Initialization14</t>
  </si>
  <si>
    <t>Initialization15</t>
  </si>
  <si>
    <t>Initialization16</t>
  </si>
  <si>
    <t>Initialization17</t>
  </si>
  <si>
    <t>Initialization18</t>
  </si>
  <si>
    <t>Initialization19</t>
  </si>
  <si>
    <t>Initialization20</t>
  </si>
  <si>
    <t>Initialization21</t>
  </si>
  <si>
    <t>Initialization22</t>
  </si>
  <si>
    <t>Initialization23</t>
  </si>
  <si>
    <t>Initialization24</t>
  </si>
  <si>
    <t>Initialization25</t>
  </si>
  <si>
    <t>Initialization26</t>
  </si>
  <si>
    <t>Initialization27</t>
  </si>
  <si>
    <t>Initialization28</t>
  </si>
  <si>
    <t>Initialization29</t>
  </si>
  <si>
    <t>Initialization30</t>
  </si>
  <si>
    <t>Water-w</t>
  </si>
  <si>
    <t>Opt_Round1-O1</t>
  </si>
  <si>
    <t>Opt_Round1-O2</t>
  </si>
  <si>
    <t>Opt_Round1-O3</t>
  </si>
  <si>
    <t>Opt_Round1-O4</t>
  </si>
  <si>
    <t>Opt_Round1-O5</t>
  </si>
  <si>
    <t>Opt_Round1-O6</t>
  </si>
  <si>
    <t>Opt_Round1-O7</t>
  </si>
  <si>
    <t>Opt_Round1-O8</t>
  </si>
  <si>
    <t>Opt_Round1-O9</t>
  </si>
  <si>
    <t>Opt_Round1-O10</t>
  </si>
  <si>
    <t>Opt_Round1--O11</t>
  </si>
  <si>
    <t>Opt_Round1-O12</t>
  </si>
  <si>
    <t>Opt_Round2-O13</t>
  </si>
  <si>
    <t>Opt_Round1-O14</t>
  </si>
  <si>
    <t>Opt_Round1-O15</t>
  </si>
  <si>
    <t>Opt_Round2-O1</t>
  </si>
  <si>
    <t>Opt_Round2-O1-repeat</t>
  </si>
  <si>
    <t>Opt_round1-O1-OldNickel</t>
  </si>
  <si>
    <t>Opt_Round2-O2</t>
  </si>
  <si>
    <t>Opt_Round2-O3</t>
  </si>
  <si>
    <t>Opt_Round2-O4</t>
  </si>
  <si>
    <t>Opt_Round2-O5</t>
  </si>
  <si>
    <t>Opt_Round2-O6</t>
  </si>
  <si>
    <t>Opt_Round2-O7</t>
  </si>
  <si>
    <t>Opt_Round2-O8</t>
  </si>
  <si>
    <t>Opt_Round2-O9</t>
  </si>
  <si>
    <t>Opt_Round2-O10</t>
  </si>
  <si>
    <t>Opt_Round2--O11</t>
  </si>
  <si>
    <t>Opt_Round2-O12</t>
  </si>
  <si>
    <t>Opt_Round2-O14</t>
  </si>
  <si>
    <t>Opt_Round2-O15</t>
  </si>
  <si>
    <t>Opt_Round3-O1</t>
  </si>
  <si>
    <t>Opt_Round3-O1a</t>
  </si>
  <si>
    <t>Opt_Round3-O1b</t>
  </si>
  <si>
    <t>Opt_Round3-O2</t>
  </si>
  <si>
    <t>Opt_Round3-O3</t>
  </si>
  <si>
    <t>Opt_Round3-O4</t>
  </si>
  <si>
    <t>Opt_Round3-O5</t>
  </si>
  <si>
    <t>Opt_Round3-O6</t>
  </si>
  <si>
    <t>Opt_Round3-O7</t>
  </si>
  <si>
    <t>Opt_Round3-O8</t>
  </si>
  <si>
    <t>Opt_Round3-O9</t>
  </si>
  <si>
    <t>Opt_Round3-O10</t>
  </si>
  <si>
    <t>Opt_Round3-O11</t>
  </si>
  <si>
    <t>Opt_Round3-O12</t>
  </si>
  <si>
    <t>Opt_Round3-O13</t>
  </si>
  <si>
    <t>Opt_Round3-O14</t>
  </si>
  <si>
    <t>Opt_Round3-O15</t>
  </si>
  <si>
    <t>LLM-1</t>
  </si>
  <si>
    <t>LLM-2</t>
  </si>
  <si>
    <t>LLM-3</t>
  </si>
  <si>
    <t>LLM-4</t>
  </si>
  <si>
    <t>LLM-5</t>
  </si>
  <si>
    <t>LLM-6</t>
  </si>
  <si>
    <t>LLM-7</t>
  </si>
  <si>
    <t>LLM-8</t>
  </si>
  <si>
    <t>LLM-9</t>
  </si>
  <si>
    <t>LLM-10</t>
  </si>
  <si>
    <t>HIL-1</t>
  </si>
  <si>
    <t>HIL-2</t>
  </si>
  <si>
    <t>HIL-3</t>
  </si>
  <si>
    <t>HIL-4</t>
  </si>
  <si>
    <t>HIL-5</t>
  </si>
  <si>
    <t>HIL-6</t>
  </si>
  <si>
    <t>HIL-7</t>
  </si>
  <si>
    <t>HIL-8</t>
  </si>
  <si>
    <t>HIL-9</t>
  </si>
  <si>
    <t>HIL-10</t>
  </si>
  <si>
    <t>Opt_Round4_1</t>
  </si>
  <si>
    <t>Opt_Round4_2</t>
  </si>
  <si>
    <t>Opt_Round4_3</t>
  </si>
  <si>
    <t>Opt_Round4_4</t>
  </si>
  <si>
    <t>Opt_Round4_5</t>
  </si>
  <si>
    <t>Opt_Round4_6</t>
  </si>
  <si>
    <t>Opt_Round4_7</t>
  </si>
  <si>
    <t>Opt_Round4_8</t>
  </si>
  <si>
    <t>Opt_Round4_9</t>
  </si>
  <si>
    <t>Opt_Round4_10</t>
  </si>
  <si>
    <t>Opt_Round4_11</t>
  </si>
  <si>
    <t>Opt_Round4_12</t>
  </si>
  <si>
    <t>Opt_Round4a_13</t>
  </si>
  <si>
    <t>Opt_Round4_14</t>
  </si>
  <si>
    <t>Opt_Round4_15</t>
  </si>
  <si>
    <t>Opt_Round5_Water</t>
  </si>
  <si>
    <t>Opt_Round5_1</t>
  </si>
  <si>
    <t>Opt_Round5_2</t>
  </si>
  <si>
    <t>Opt_Round5_3</t>
  </si>
  <si>
    <t>Opt_Round5_4</t>
  </si>
  <si>
    <t>Opt_Round5_5</t>
  </si>
  <si>
    <t>Opt_Round5_6</t>
  </si>
  <si>
    <t>Opt_Round5_7</t>
  </si>
  <si>
    <t>Opt_Round5_8</t>
  </si>
  <si>
    <t>Opt_Round5_9</t>
  </si>
  <si>
    <t>Opt_Round5_10</t>
  </si>
  <si>
    <t>Opt_Round5_11</t>
  </si>
  <si>
    <t>Opt_Round5_12</t>
  </si>
  <si>
    <t>Opt_Round5_13</t>
  </si>
  <si>
    <t>Opt_Round5_14</t>
  </si>
  <si>
    <t>Opt_Round5_15</t>
  </si>
  <si>
    <t>HIL_Round2_1</t>
  </si>
  <si>
    <t>HIL_Round2_2</t>
  </si>
  <si>
    <t>HIL_Round2_3</t>
  </si>
  <si>
    <t>HIL_Round2_4</t>
  </si>
  <si>
    <t>HIL_Round2_5</t>
  </si>
  <si>
    <t>HIL_Round2_6</t>
  </si>
  <si>
    <t>HIL_Round2_7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</si>
</sst>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top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2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2" fillId="0" fontId="3" numFmtId="0" xfId="0" applyAlignment="1" applyBorder="1" applyFont="1">
      <alignment horizontal="right" vertical="bottom"/>
    </xf>
    <xf borderId="2" fillId="0" fontId="4" numFmtId="2" xfId="0" applyAlignment="1" applyBorder="1" applyFont="1" applyNumberFormat="1">
      <alignment horizontal="right" vertical="bottom"/>
    </xf>
    <xf borderId="2" fillId="0" fontId="4" numFmtId="1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2" fillId="0" fontId="4" numFmtId="165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2" fillId="0" fontId="3" numFmtId="165" xfId="0" applyAlignment="1" applyBorder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2" fillId="0" fontId="4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2" fontId="3" numFmtId="0" xfId="0" applyAlignment="1" applyFill="1" applyFont="1">
      <alignment horizontal="right" vertical="bottom"/>
    </xf>
    <xf borderId="0" fillId="3" fontId="4" numFmtId="0" xfId="0" applyAlignment="1" applyFill="1" applyFont="1">
      <alignment horizontal="right" vertical="bottom"/>
    </xf>
    <xf borderId="0" fillId="0" fontId="5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</row>
    <row r="2">
      <c r="A2" s="5" t="s">
        <v>2</v>
      </c>
      <c r="B2" s="5">
        <v>90.0</v>
      </c>
      <c r="C2" s="6">
        <v>10.0</v>
      </c>
      <c r="D2" s="5">
        <v>0.0</v>
      </c>
      <c r="E2" s="5">
        <v>0.0</v>
      </c>
      <c r="F2" s="5">
        <v>0.0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7">
        <v>40.9568</v>
      </c>
    </row>
    <row r="3">
      <c r="A3" s="5" t="s">
        <v>12</v>
      </c>
      <c r="B3" s="5">
        <v>90.0</v>
      </c>
      <c r="C3" s="6">
        <f t="shared" ref="C3:C34" si="1">10-SUM(D3:K3)</f>
        <v>3.772363636</v>
      </c>
      <c r="D3" s="5">
        <v>0.066</v>
      </c>
      <c r="E3" s="5">
        <v>0.73</v>
      </c>
      <c r="F3" s="5">
        <v>0.44</v>
      </c>
      <c r="G3" s="5">
        <v>4.1</v>
      </c>
      <c r="H3" s="6">
        <v>0.072</v>
      </c>
      <c r="I3" s="8">
        <v>0.20699999999999996</v>
      </c>
      <c r="J3" s="8">
        <v>0.009</v>
      </c>
      <c r="K3" s="8">
        <v>0.6036363636363636</v>
      </c>
      <c r="L3" s="7">
        <v>536.2243</v>
      </c>
    </row>
    <row r="4">
      <c r="A4" s="5" t="s">
        <v>13</v>
      </c>
      <c r="B4" s="5">
        <v>90.0</v>
      </c>
      <c r="C4" s="6">
        <f t="shared" si="1"/>
        <v>3.004181818</v>
      </c>
      <c r="D4" s="5">
        <v>0.09</v>
      </c>
      <c r="E4" s="5">
        <v>0.068</v>
      </c>
      <c r="F4" s="5">
        <v>1.9</v>
      </c>
      <c r="G4" s="5">
        <v>3.8</v>
      </c>
      <c r="H4" s="6">
        <v>0.16000000000000003</v>
      </c>
      <c r="I4" s="8">
        <v>0.018</v>
      </c>
      <c r="J4" s="8">
        <v>0.37799999999999995</v>
      </c>
      <c r="K4" s="8">
        <v>0.5818181818181819</v>
      </c>
      <c r="L4" s="7">
        <v>62.3306</v>
      </c>
    </row>
    <row r="5">
      <c r="A5" s="5" t="s">
        <v>14</v>
      </c>
      <c r="B5" s="5">
        <v>90.0</v>
      </c>
      <c r="C5" s="6">
        <f t="shared" si="1"/>
        <v>4.524818182</v>
      </c>
      <c r="D5" s="5">
        <v>0.065</v>
      </c>
      <c r="E5" s="5">
        <v>0.69</v>
      </c>
      <c r="F5" s="5">
        <v>1.5</v>
      </c>
      <c r="G5" s="5">
        <v>2.1</v>
      </c>
      <c r="H5" s="6">
        <v>0.15600000000000003</v>
      </c>
      <c r="I5" s="8">
        <v>0.36</v>
      </c>
      <c r="J5" s="8">
        <v>0.306</v>
      </c>
      <c r="K5" s="8">
        <v>0.29818181818181816</v>
      </c>
      <c r="L5" s="7">
        <v>673.3998</v>
      </c>
    </row>
    <row r="6">
      <c r="A6" s="5" t="s">
        <v>15</v>
      </c>
      <c r="B6" s="5">
        <v>90.0</v>
      </c>
      <c r="C6" s="6">
        <f t="shared" si="1"/>
        <v>4.289818182</v>
      </c>
      <c r="D6" s="5">
        <v>0.057</v>
      </c>
      <c r="E6" s="5">
        <v>0.61</v>
      </c>
      <c r="F6" s="5">
        <v>0.8</v>
      </c>
      <c r="G6" s="5">
        <v>3.2</v>
      </c>
      <c r="H6" s="6">
        <v>0.084</v>
      </c>
      <c r="I6" s="8">
        <v>0.053999999999999986</v>
      </c>
      <c r="J6" s="8">
        <v>0.20699999999999996</v>
      </c>
      <c r="K6" s="8">
        <v>0.6981818181818181</v>
      </c>
      <c r="L6" s="7">
        <v>752.9415</v>
      </c>
    </row>
    <row r="7">
      <c r="A7" s="5" t="s">
        <v>16</v>
      </c>
      <c r="B7" s="5">
        <v>90.0</v>
      </c>
      <c r="C7" s="6">
        <f t="shared" si="1"/>
        <v>7.836545455</v>
      </c>
      <c r="D7" s="5">
        <v>0.078</v>
      </c>
      <c r="E7" s="5">
        <v>0.41</v>
      </c>
      <c r="F7" s="5">
        <v>0.13</v>
      </c>
      <c r="G7" s="5">
        <v>0.76</v>
      </c>
      <c r="H7" s="6">
        <v>0.30800000000000005</v>
      </c>
      <c r="I7" s="8">
        <v>0.17099999999999999</v>
      </c>
      <c r="J7" s="8">
        <v>0.08099999999999999</v>
      </c>
      <c r="K7" s="8">
        <v>0.22545454545454546</v>
      </c>
      <c r="L7" s="7">
        <v>2550.8838</v>
      </c>
    </row>
    <row r="8">
      <c r="A8" s="5" t="s">
        <v>17</v>
      </c>
      <c r="B8" s="5">
        <v>90.0</v>
      </c>
      <c r="C8" s="6">
        <f t="shared" si="1"/>
        <v>7.820636364</v>
      </c>
      <c r="D8" s="5">
        <v>0.061</v>
      </c>
      <c r="E8" s="5">
        <v>0.79</v>
      </c>
      <c r="F8" s="5">
        <v>0.26</v>
      </c>
      <c r="G8" s="5">
        <v>0.1</v>
      </c>
      <c r="H8" s="6">
        <v>0.27999999999999997</v>
      </c>
      <c r="I8" s="8">
        <v>0.072</v>
      </c>
      <c r="J8" s="8">
        <v>0.18</v>
      </c>
      <c r="K8" s="8">
        <v>0.43636363636363634</v>
      </c>
      <c r="L8" s="7">
        <v>1516.4644</v>
      </c>
    </row>
    <row r="9">
      <c r="A9" s="5" t="s">
        <v>18</v>
      </c>
      <c r="B9" s="5">
        <v>90.0</v>
      </c>
      <c r="C9" s="6">
        <f t="shared" si="1"/>
        <v>4.384090909</v>
      </c>
      <c r="D9" s="5">
        <v>0.075</v>
      </c>
      <c r="E9" s="5">
        <v>0.74</v>
      </c>
      <c r="F9" s="5">
        <v>0.42</v>
      </c>
      <c r="G9" s="5">
        <v>2.8</v>
      </c>
      <c r="H9" s="6">
        <v>0.296</v>
      </c>
      <c r="I9" s="8">
        <v>0.20699999999999996</v>
      </c>
      <c r="J9" s="8">
        <v>0.38699999999999996</v>
      </c>
      <c r="K9" s="8">
        <v>0.6909090909090909</v>
      </c>
      <c r="L9" s="7">
        <v>4536.9567</v>
      </c>
    </row>
    <row r="10">
      <c r="A10" s="5" t="s">
        <v>19</v>
      </c>
      <c r="B10" s="5">
        <v>90.0</v>
      </c>
      <c r="C10" s="6">
        <f t="shared" si="1"/>
        <v>3.984181818</v>
      </c>
      <c r="D10" s="5">
        <v>0.05</v>
      </c>
      <c r="E10" s="5">
        <v>0.2</v>
      </c>
      <c r="F10" s="5">
        <v>1.4</v>
      </c>
      <c r="G10" s="5">
        <v>3.6</v>
      </c>
      <c r="H10" s="6">
        <v>0.376</v>
      </c>
      <c r="I10" s="8">
        <v>0.018</v>
      </c>
      <c r="J10" s="8">
        <v>0.26999999999999996</v>
      </c>
      <c r="K10" s="8">
        <v>0.10181818181818182</v>
      </c>
      <c r="L10" s="7">
        <v>974.8576</v>
      </c>
    </row>
    <row r="11">
      <c r="A11" s="5" t="s">
        <v>20</v>
      </c>
      <c r="B11" s="5">
        <v>90.0</v>
      </c>
      <c r="C11" s="6">
        <f t="shared" si="1"/>
        <v>5.051981818</v>
      </c>
      <c r="D11" s="5">
        <v>0.08</v>
      </c>
      <c r="E11" s="5">
        <v>0.57</v>
      </c>
      <c r="F11" s="5">
        <v>0.28</v>
      </c>
      <c r="G11" s="5">
        <v>3.4</v>
      </c>
      <c r="H11" s="6">
        <v>0.0072</v>
      </c>
      <c r="I11" s="8">
        <v>0.063</v>
      </c>
      <c r="J11" s="8">
        <v>0.126</v>
      </c>
      <c r="K11" s="8">
        <v>0.4218181818181818</v>
      </c>
      <c r="L11" s="7">
        <v>292.1014</v>
      </c>
    </row>
    <row r="12">
      <c r="A12" s="5" t="s">
        <v>21</v>
      </c>
      <c r="B12" s="5">
        <v>90.0</v>
      </c>
      <c r="C12" s="6">
        <f t="shared" si="1"/>
        <v>7.493</v>
      </c>
      <c r="D12" s="5">
        <v>0.069</v>
      </c>
      <c r="E12" s="5">
        <v>0.54</v>
      </c>
      <c r="F12" s="5">
        <v>0.094</v>
      </c>
      <c r="G12" s="5">
        <v>0.63</v>
      </c>
      <c r="H12" s="6">
        <v>0.268</v>
      </c>
      <c r="I12" s="8">
        <v>0.32399999999999995</v>
      </c>
      <c r="J12" s="8">
        <v>0.34199999999999997</v>
      </c>
      <c r="K12" s="8">
        <v>0.24000000000000002</v>
      </c>
      <c r="L12" s="7">
        <v>1781.8729</v>
      </c>
    </row>
    <row r="13">
      <c r="A13" s="9" t="s">
        <v>2</v>
      </c>
      <c r="B13" s="9">
        <v>57.5</v>
      </c>
      <c r="C13" s="10">
        <f t="shared" si="1"/>
        <v>10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9">
        <v>0.0</v>
      </c>
      <c r="J13" s="9">
        <v>0.0</v>
      </c>
      <c r="K13" s="9">
        <v>0.0</v>
      </c>
      <c r="L13" s="11">
        <v>389.0</v>
      </c>
    </row>
    <row r="14">
      <c r="A14" s="5" t="s">
        <v>22</v>
      </c>
      <c r="B14" s="5">
        <v>57.5</v>
      </c>
      <c r="C14" s="6">
        <f t="shared" si="1"/>
        <v>6.400181818</v>
      </c>
      <c r="D14" s="5">
        <v>0.083</v>
      </c>
      <c r="E14" s="5">
        <v>0.069</v>
      </c>
      <c r="F14" s="5">
        <v>1.2</v>
      </c>
      <c r="G14" s="5">
        <v>1.3</v>
      </c>
      <c r="H14" s="6">
        <v>0.292</v>
      </c>
      <c r="I14" s="8">
        <v>0.08099999999999999</v>
      </c>
      <c r="J14" s="8">
        <v>0.153</v>
      </c>
      <c r="K14" s="8">
        <v>0.4218181818181818</v>
      </c>
      <c r="L14" s="7">
        <v>11514.248</v>
      </c>
    </row>
    <row r="15">
      <c r="A15" s="5" t="s">
        <v>23</v>
      </c>
      <c r="B15" s="5">
        <v>57.5</v>
      </c>
      <c r="C15" s="6">
        <f t="shared" si="1"/>
        <v>5.605272727</v>
      </c>
      <c r="D15" s="5">
        <v>0.065</v>
      </c>
      <c r="E15" s="5">
        <v>0.11</v>
      </c>
      <c r="F15" s="5">
        <v>2.1</v>
      </c>
      <c r="G15" s="5">
        <v>1.2</v>
      </c>
      <c r="H15" s="6">
        <v>0.20400000000000001</v>
      </c>
      <c r="I15" s="8">
        <v>0.053999999999999986</v>
      </c>
      <c r="J15" s="8">
        <v>0.18899999999999997</v>
      </c>
      <c r="K15" s="8">
        <v>0.4727272727272727</v>
      </c>
      <c r="L15" s="7">
        <v>2665.6663</v>
      </c>
    </row>
    <row r="16">
      <c r="A16" s="5" t="s">
        <v>24</v>
      </c>
      <c r="B16" s="5">
        <v>57.5</v>
      </c>
      <c r="C16" s="6">
        <f t="shared" si="1"/>
        <v>3.276090909</v>
      </c>
      <c r="D16" s="5">
        <v>0.091</v>
      </c>
      <c r="E16" s="5">
        <v>0.36</v>
      </c>
      <c r="F16" s="5">
        <v>0.79</v>
      </c>
      <c r="G16" s="5">
        <v>4.5</v>
      </c>
      <c r="H16" s="6">
        <v>0.072</v>
      </c>
      <c r="I16" s="8">
        <v>0.34199999999999997</v>
      </c>
      <c r="J16" s="8">
        <v>0.19799999999999998</v>
      </c>
      <c r="K16" s="8">
        <v>0.3709090909090909</v>
      </c>
      <c r="L16" s="7">
        <v>79.9853</v>
      </c>
    </row>
    <row r="17">
      <c r="A17" s="5" t="s">
        <v>25</v>
      </c>
      <c r="B17" s="5">
        <v>57.5</v>
      </c>
      <c r="C17" s="6">
        <f t="shared" si="1"/>
        <v>4.734818182</v>
      </c>
      <c r="D17" s="5">
        <v>0.069</v>
      </c>
      <c r="E17" s="5">
        <v>0.6</v>
      </c>
      <c r="F17" s="5">
        <v>0.66</v>
      </c>
      <c r="G17" s="5">
        <v>3.0</v>
      </c>
      <c r="H17" s="6">
        <v>0.22400000000000003</v>
      </c>
      <c r="I17" s="8">
        <v>0.16199999999999998</v>
      </c>
      <c r="J17" s="8">
        <v>0.252</v>
      </c>
      <c r="K17" s="8">
        <v>0.29818181818181816</v>
      </c>
      <c r="L17" s="7">
        <v>105.2693</v>
      </c>
    </row>
    <row r="18">
      <c r="A18" s="5" t="s">
        <v>26</v>
      </c>
      <c r="B18" s="5">
        <v>57.5</v>
      </c>
      <c r="C18" s="6">
        <f t="shared" si="1"/>
        <v>7.517818182</v>
      </c>
      <c r="D18" s="5">
        <v>0.057</v>
      </c>
      <c r="E18" s="5">
        <v>0.75</v>
      </c>
      <c r="F18" s="5">
        <v>0.23</v>
      </c>
      <c r="G18" s="5">
        <v>0.7</v>
      </c>
      <c r="H18" s="6">
        <v>0.12</v>
      </c>
      <c r="I18" s="8">
        <v>0.17099999999999999</v>
      </c>
      <c r="J18" s="8">
        <v>0.39599999999999996</v>
      </c>
      <c r="K18" s="8">
        <v>0.05818181818181818</v>
      </c>
      <c r="L18" s="7">
        <v>160.1346</v>
      </c>
    </row>
    <row r="19">
      <c r="A19" s="12" t="s">
        <v>27</v>
      </c>
      <c r="B19" s="5">
        <v>57.5</v>
      </c>
      <c r="C19" s="6">
        <f t="shared" si="1"/>
        <v>7.697363636</v>
      </c>
      <c r="D19" s="5">
        <v>0.1</v>
      </c>
      <c r="E19" s="5">
        <v>0.62</v>
      </c>
      <c r="F19" s="5">
        <v>0.083</v>
      </c>
      <c r="G19" s="5">
        <v>0.4</v>
      </c>
      <c r="H19" s="6">
        <v>0.052000000000000005</v>
      </c>
      <c r="I19" s="8">
        <v>0.32399999999999995</v>
      </c>
      <c r="J19" s="8">
        <v>0.36</v>
      </c>
      <c r="K19" s="8">
        <v>0.36363636363636365</v>
      </c>
      <c r="L19" s="7">
        <v>3049.0815</v>
      </c>
    </row>
    <row r="20">
      <c r="A20" s="5" t="s">
        <v>28</v>
      </c>
      <c r="B20" s="5">
        <v>57.5</v>
      </c>
      <c r="C20" s="6">
        <f t="shared" si="1"/>
        <v>5.815909091</v>
      </c>
      <c r="D20" s="5">
        <v>0.1</v>
      </c>
      <c r="E20" s="5">
        <v>0.15</v>
      </c>
      <c r="F20" s="5">
        <v>0.19</v>
      </c>
      <c r="G20" s="5">
        <v>2.4</v>
      </c>
      <c r="H20" s="6">
        <v>0.388</v>
      </c>
      <c r="I20" s="8">
        <v>0.009</v>
      </c>
      <c r="J20" s="8">
        <v>0.19799999999999998</v>
      </c>
      <c r="K20" s="8">
        <v>0.7490909090909091</v>
      </c>
      <c r="L20" s="7">
        <v>1185.1264</v>
      </c>
    </row>
    <row r="21">
      <c r="A21" s="5" t="s">
        <v>29</v>
      </c>
      <c r="B21" s="5">
        <v>57.5</v>
      </c>
      <c r="C21" s="6">
        <f t="shared" si="1"/>
        <v>2.600545455</v>
      </c>
      <c r="D21" s="5">
        <v>0.095</v>
      </c>
      <c r="E21" s="5">
        <v>0.79</v>
      </c>
      <c r="F21" s="5">
        <v>1.4</v>
      </c>
      <c r="G21" s="5">
        <v>4.4</v>
      </c>
      <c r="H21" s="6">
        <v>0.20800000000000002</v>
      </c>
      <c r="I21" s="8">
        <v>0.252</v>
      </c>
      <c r="J21" s="8">
        <v>0.18899999999999997</v>
      </c>
      <c r="K21" s="8">
        <v>0.06545454545454545</v>
      </c>
      <c r="L21" s="7">
        <v>159.7377</v>
      </c>
    </row>
    <row r="22">
      <c r="A22" s="5" t="s">
        <v>30</v>
      </c>
      <c r="B22" s="5">
        <v>57.5</v>
      </c>
      <c r="C22" s="6">
        <f t="shared" si="1"/>
        <v>2.958636364</v>
      </c>
      <c r="D22" s="5">
        <v>0.1</v>
      </c>
      <c r="E22" s="5">
        <v>0.51</v>
      </c>
      <c r="F22" s="5">
        <v>0.91</v>
      </c>
      <c r="G22" s="5">
        <v>4.8</v>
      </c>
      <c r="H22" s="6">
        <v>0.148</v>
      </c>
      <c r="I22" s="8">
        <v>0.026999999999999993</v>
      </c>
      <c r="J22" s="8">
        <v>0.26999999999999996</v>
      </c>
      <c r="K22" s="8">
        <v>0.27636363636363637</v>
      </c>
      <c r="L22" s="7">
        <v>48.5322</v>
      </c>
    </row>
    <row r="23">
      <c r="A23" s="5" t="s">
        <v>31</v>
      </c>
      <c r="B23" s="5">
        <v>57.5</v>
      </c>
      <c r="C23" s="6">
        <f t="shared" si="1"/>
        <v>1.935909091</v>
      </c>
      <c r="D23" s="5">
        <v>0.069</v>
      </c>
      <c r="E23" s="5">
        <v>0.61</v>
      </c>
      <c r="F23" s="5">
        <v>1.9</v>
      </c>
      <c r="G23" s="5">
        <v>4.4</v>
      </c>
      <c r="H23" s="6">
        <v>0.27999999999999997</v>
      </c>
      <c r="I23" s="8">
        <v>0.026999999999999993</v>
      </c>
      <c r="J23" s="8">
        <v>0.18899999999999997</v>
      </c>
      <c r="K23" s="8">
        <v>0.5890909090909091</v>
      </c>
      <c r="L23" s="7">
        <v>52.0847</v>
      </c>
    </row>
    <row r="24">
      <c r="A24" s="9" t="s">
        <v>2</v>
      </c>
      <c r="B24" s="9">
        <v>29.5</v>
      </c>
      <c r="C24" s="10">
        <f t="shared" si="1"/>
        <v>10</v>
      </c>
      <c r="D24" s="9">
        <v>0.0</v>
      </c>
      <c r="E24" s="9">
        <v>0.0</v>
      </c>
      <c r="F24" s="9">
        <v>0.0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  <c r="L24" s="11">
        <v>30.5394</v>
      </c>
    </row>
    <row r="25">
      <c r="A25" s="5" t="s">
        <v>32</v>
      </c>
      <c r="B25" s="5">
        <v>29.5</v>
      </c>
      <c r="C25" s="6">
        <f t="shared" si="1"/>
        <v>2.392090909</v>
      </c>
      <c r="D25" s="5">
        <v>0.087</v>
      </c>
      <c r="E25" s="5">
        <v>0.6</v>
      </c>
      <c r="F25" s="5">
        <v>0.34</v>
      </c>
      <c r="G25" s="5">
        <v>4.9</v>
      </c>
      <c r="H25" s="6">
        <v>0.396</v>
      </c>
      <c r="I25" s="8">
        <v>0.39599999999999996</v>
      </c>
      <c r="J25" s="8">
        <v>0.19799999999999998</v>
      </c>
      <c r="K25" s="8">
        <v>0.6909090909090909</v>
      </c>
      <c r="L25" s="7">
        <v>33.8861</v>
      </c>
    </row>
    <row r="26">
      <c r="A26" s="5" t="s">
        <v>33</v>
      </c>
      <c r="B26" s="5">
        <v>29.5</v>
      </c>
      <c r="C26" s="6">
        <f t="shared" si="1"/>
        <v>2.009818182</v>
      </c>
      <c r="D26" s="5">
        <v>0.083</v>
      </c>
      <c r="E26" s="5">
        <v>0.64</v>
      </c>
      <c r="F26" s="5">
        <v>1.6</v>
      </c>
      <c r="G26" s="5">
        <v>4.6</v>
      </c>
      <c r="H26" s="6">
        <v>0.37200000000000005</v>
      </c>
      <c r="I26" s="8">
        <v>0.37799999999999995</v>
      </c>
      <c r="J26" s="8">
        <v>0.09899999999999999</v>
      </c>
      <c r="K26" s="8">
        <v>0.21818181818181817</v>
      </c>
      <c r="L26" s="7">
        <v>31.2009</v>
      </c>
    </row>
    <row r="27">
      <c r="A27" s="5" t="s">
        <v>34</v>
      </c>
      <c r="B27" s="5">
        <v>29.5</v>
      </c>
      <c r="C27" s="6">
        <f t="shared" si="1"/>
        <v>3.416909091</v>
      </c>
      <c r="D27" s="5">
        <v>0.1</v>
      </c>
      <c r="E27" s="5">
        <v>0.5</v>
      </c>
      <c r="F27" s="5">
        <v>0.85</v>
      </c>
      <c r="G27" s="5">
        <v>4.7</v>
      </c>
      <c r="H27" s="6">
        <v>0.11599999999999999</v>
      </c>
      <c r="I27" s="8">
        <v>0.053999999999999986</v>
      </c>
      <c r="J27" s="8">
        <v>0.234</v>
      </c>
      <c r="K27" s="8">
        <v>0.02909090909090909</v>
      </c>
      <c r="L27" s="7">
        <v>24.9436</v>
      </c>
    </row>
    <row r="28">
      <c r="A28" s="5" t="s">
        <v>35</v>
      </c>
      <c r="B28" s="5">
        <v>29.5</v>
      </c>
      <c r="C28" s="6">
        <f t="shared" si="1"/>
        <v>4.445818182</v>
      </c>
      <c r="D28" s="5">
        <v>0.078</v>
      </c>
      <c r="E28" s="5">
        <v>0.71</v>
      </c>
      <c r="F28" s="5">
        <v>1.5</v>
      </c>
      <c r="G28" s="5">
        <v>2.6</v>
      </c>
      <c r="H28" s="6">
        <v>0.124</v>
      </c>
      <c r="I28" s="8">
        <v>0.063</v>
      </c>
      <c r="J28" s="8">
        <v>0.26099999999999995</v>
      </c>
      <c r="K28" s="8">
        <v>0.21818181818181817</v>
      </c>
      <c r="L28" s="7">
        <v>57.9206</v>
      </c>
    </row>
    <row r="29">
      <c r="A29" s="5" t="s">
        <v>36</v>
      </c>
      <c r="B29" s="5">
        <v>29.5</v>
      </c>
      <c r="C29" s="6">
        <f t="shared" si="1"/>
        <v>2.945454545</v>
      </c>
      <c r="D29" s="5">
        <v>0.054</v>
      </c>
      <c r="E29" s="5">
        <v>0.023</v>
      </c>
      <c r="F29" s="5">
        <v>2.0</v>
      </c>
      <c r="G29" s="5">
        <v>3.8</v>
      </c>
      <c r="H29" s="6">
        <v>0.072</v>
      </c>
      <c r="I29" s="8">
        <v>0.297</v>
      </c>
      <c r="J29" s="8">
        <v>0.234</v>
      </c>
      <c r="K29" s="8">
        <v>0.5745454545454546</v>
      </c>
      <c r="L29" s="7">
        <v>35.4296</v>
      </c>
    </row>
    <row r="30">
      <c r="A30" s="5" t="s">
        <v>37</v>
      </c>
      <c r="B30" s="5">
        <v>29.5</v>
      </c>
      <c r="C30" s="6">
        <f t="shared" si="1"/>
        <v>3.201909091</v>
      </c>
      <c r="D30" s="5">
        <v>0.086</v>
      </c>
      <c r="E30" s="5">
        <v>0.26</v>
      </c>
      <c r="F30" s="5">
        <v>1.5</v>
      </c>
      <c r="G30" s="5">
        <v>3.7</v>
      </c>
      <c r="H30" s="6">
        <v>0.148</v>
      </c>
      <c r="I30" s="8">
        <v>0.36899999999999994</v>
      </c>
      <c r="J30" s="8">
        <v>0.306</v>
      </c>
      <c r="K30" s="8">
        <v>0.4290909090909091</v>
      </c>
      <c r="L30" s="7">
        <v>62.8206</v>
      </c>
    </row>
    <row r="31">
      <c r="A31" s="5" t="s">
        <v>38</v>
      </c>
      <c r="B31" s="5">
        <v>29.5</v>
      </c>
      <c r="C31" s="6">
        <f t="shared" si="1"/>
        <v>3.799454545</v>
      </c>
      <c r="D31" s="5">
        <v>0.092</v>
      </c>
      <c r="E31" s="5">
        <v>0.67</v>
      </c>
      <c r="F31" s="5">
        <v>1.9</v>
      </c>
      <c r="G31" s="5">
        <v>2.7</v>
      </c>
      <c r="H31" s="6">
        <v>0.17600000000000002</v>
      </c>
      <c r="I31" s="8">
        <v>0.34199999999999997</v>
      </c>
      <c r="J31" s="8">
        <v>0.306</v>
      </c>
      <c r="K31" s="8">
        <v>0.014545454545454545</v>
      </c>
      <c r="L31" s="7">
        <v>29.5888</v>
      </c>
    </row>
    <row r="32">
      <c r="A32" s="5" t="s">
        <v>39</v>
      </c>
      <c r="B32" s="5">
        <v>29.5</v>
      </c>
      <c r="C32" s="6">
        <f t="shared" si="1"/>
        <v>6.668818182</v>
      </c>
      <c r="D32" s="5">
        <v>0.083</v>
      </c>
      <c r="E32" s="5">
        <v>0.035</v>
      </c>
      <c r="F32" s="5">
        <v>0.94</v>
      </c>
      <c r="G32" s="5">
        <v>1.4</v>
      </c>
      <c r="H32" s="6">
        <v>0.27599999999999997</v>
      </c>
      <c r="I32" s="8">
        <v>0.10799999999999997</v>
      </c>
      <c r="J32" s="8">
        <v>0.351</v>
      </c>
      <c r="K32" s="8">
        <v>0.13818181818181818</v>
      </c>
      <c r="L32" s="7">
        <v>68.5389</v>
      </c>
    </row>
    <row r="33">
      <c r="A33" s="5" t="s">
        <v>40</v>
      </c>
      <c r="B33" s="5">
        <v>29.5</v>
      </c>
      <c r="C33" s="6">
        <f t="shared" si="1"/>
        <v>5.621354545</v>
      </c>
      <c r="D33" s="5">
        <v>0.093</v>
      </c>
      <c r="E33" s="5">
        <v>0.0071</v>
      </c>
      <c r="F33" s="5">
        <v>1.2</v>
      </c>
      <c r="G33" s="5">
        <v>2.2</v>
      </c>
      <c r="H33" s="6">
        <v>0.034</v>
      </c>
      <c r="I33" s="8">
        <v>0.053999999999999986</v>
      </c>
      <c r="J33" s="8">
        <v>0.21599999999999994</v>
      </c>
      <c r="K33" s="8">
        <v>0.5745454545454546</v>
      </c>
      <c r="L33" s="7">
        <v>100.4134</v>
      </c>
    </row>
    <row r="34">
      <c r="A34" s="5" t="s">
        <v>41</v>
      </c>
      <c r="B34" s="5">
        <v>29.5</v>
      </c>
      <c r="C34" s="6">
        <f t="shared" si="1"/>
        <v>3.045090909</v>
      </c>
      <c r="D34" s="5">
        <v>0.074</v>
      </c>
      <c r="E34" s="5">
        <v>0.47</v>
      </c>
      <c r="F34" s="5">
        <v>0.94</v>
      </c>
      <c r="G34" s="5">
        <v>4.6</v>
      </c>
      <c r="H34" s="6">
        <v>0.18400000000000002</v>
      </c>
      <c r="I34" s="8">
        <v>0.37799999999999995</v>
      </c>
      <c r="J34" s="8">
        <v>0.018</v>
      </c>
      <c r="K34" s="8">
        <v>0.29090909090909095</v>
      </c>
      <c r="L34" s="7">
        <v>68.3282</v>
      </c>
    </row>
    <row r="35">
      <c r="A35" s="9" t="s">
        <v>42</v>
      </c>
      <c r="B35" s="13">
        <v>67.8618461</v>
      </c>
      <c r="C35" s="10">
        <v>10.0</v>
      </c>
      <c r="D35" s="9">
        <v>0.0</v>
      </c>
      <c r="E35" s="9">
        <v>0.0</v>
      </c>
      <c r="F35" s="9">
        <v>0.0</v>
      </c>
      <c r="G35" s="9">
        <v>0.0</v>
      </c>
      <c r="H35" s="9">
        <v>0.0</v>
      </c>
      <c r="I35" s="9">
        <v>0.0</v>
      </c>
      <c r="J35" s="9">
        <v>0.0</v>
      </c>
      <c r="K35" s="9">
        <v>0.0</v>
      </c>
      <c r="L35" s="14">
        <v>32.0</v>
      </c>
    </row>
    <row r="36">
      <c r="A36" s="15" t="s">
        <v>43</v>
      </c>
      <c r="B36" s="16">
        <v>67.8618461</v>
      </c>
      <c r="C36" s="6">
        <f t="shared" ref="C36:C50" si="2">10-SUM(D36:K36)</f>
        <v>6.599</v>
      </c>
      <c r="D36" s="17">
        <v>0.081</v>
      </c>
      <c r="E36" s="17">
        <v>0.097</v>
      </c>
      <c r="F36" s="17">
        <v>1.09</v>
      </c>
      <c r="G36" s="6">
        <v>1.19</v>
      </c>
      <c r="H36" s="17">
        <v>0.286</v>
      </c>
      <c r="I36" s="17">
        <v>0.089</v>
      </c>
      <c r="J36" s="17">
        <v>0.151</v>
      </c>
      <c r="K36" s="17">
        <v>0.417</v>
      </c>
      <c r="L36" s="15">
        <v>2351.0</v>
      </c>
    </row>
    <row r="37">
      <c r="A37" s="15" t="s">
        <v>44</v>
      </c>
      <c r="B37" s="16">
        <v>67.8618461</v>
      </c>
      <c r="C37" s="6">
        <f t="shared" si="2"/>
        <v>6.308</v>
      </c>
      <c r="D37" s="17">
        <v>0.084</v>
      </c>
      <c r="E37" s="17">
        <v>0.061</v>
      </c>
      <c r="F37" s="17">
        <v>1.238</v>
      </c>
      <c r="G37" s="6">
        <v>1.41</v>
      </c>
      <c r="H37" s="17">
        <v>0.288</v>
      </c>
      <c r="I37" s="17">
        <v>0.061</v>
      </c>
      <c r="J37" s="17">
        <v>0.155</v>
      </c>
      <c r="K37" s="17">
        <v>0.395</v>
      </c>
      <c r="L37" s="15">
        <v>3340.0</v>
      </c>
    </row>
    <row r="38">
      <c r="A38" s="15" t="s">
        <v>45</v>
      </c>
      <c r="B38" s="16">
        <v>67.8618461</v>
      </c>
      <c r="C38" s="6">
        <f t="shared" si="2"/>
        <v>6.266</v>
      </c>
      <c r="D38" s="17">
        <v>0.084</v>
      </c>
      <c r="E38" s="17">
        <v>0.06</v>
      </c>
      <c r="F38" s="17">
        <v>1.267</v>
      </c>
      <c r="G38" s="6">
        <v>1.31</v>
      </c>
      <c r="H38" s="17">
        <v>0.301</v>
      </c>
      <c r="I38" s="17">
        <v>0.098</v>
      </c>
      <c r="J38" s="17">
        <v>0.163</v>
      </c>
      <c r="K38" s="17">
        <v>0.451</v>
      </c>
      <c r="L38" s="15">
        <v>3286.0</v>
      </c>
    </row>
    <row r="39">
      <c r="A39" s="15" t="s">
        <v>46</v>
      </c>
      <c r="B39" s="16">
        <v>67.8618461</v>
      </c>
      <c r="C39" s="6">
        <f t="shared" si="2"/>
        <v>6.397</v>
      </c>
      <c r="D39" s="17">
        <v>0.086</v>
      </c>
      <c r="E39" s="17">
        <v>0.099</v>
      </c>
      <c r="F39" s="17">
        <v>1.274</v>
      </c>
      <c r="G39" s="6">
        <v>1.19</v>
      </c>
      <c r="H39" s="17">
        <v>0.288</v>
      </c>
      <c r="I39" s="17">
        <v>0.091</v>
      </c>
      <c r="J39" s="17">
        <v>0.148</v>
      </c>
      <c r="K39" s="17">
        <v>0.427</v>
      </c>
      <c r="L39" s="15">
        <v>2376.0</v>
      </c>
    </row>
    <row r="40">
      <c r="A40" s="15" t="s">
        <v>47</v>
      </c>
      <c r="B40" s="16">
        <v>67.8618461</v>
      </c>
      <c r="C40" s="6">
        <f t="shared" si="2"/>
        <v>6.563</v>
      </c>
      <c r="D40" s="17">
        <v>0.081</v>
      </c>
      <c r="E40" s="17">
        <v>0.042</v>
      </c>
      <c r="F40" s="17">
        <v>1.143</v>
      </c>
      <c r="G40" s="6">
        <v>1.2</v>
      </c>
      <c r="H40" s="17">
        <v>0.291</v>
      </c>
      <c r="I40" s="17">
        <v>0.076</v>
      </c>
      <c r="J40" s="17">
        <v>0.147</v>
      </c>
      <c r="K40" s="17">
        <v>0.457</v>
      </c>
      <c r="L40" s="15">
        <v>2392.0</v>
      </c>
    </row>
    <row r="41">
      <c r="A41" s="15" t="s">
        <v>48</v>
      </c>
      <c r="B41" s="16">
        <v>67.8618461</v>
      </c>
      <c r="C41" s="6">
        <f t="shared" si="2"/>
        <v>6.683</v>
      </c>
      <c r="D41" s="17">
        <v>0.084</v>
      </c>
      <c r="E41" s="17">
        <v>0.064</v>
      </c>
      <c r="F41" s="17">
        <v>1.132</v>
      </c>
      <c r="G41" s="6">
        <v>1.1</v>
      </c>
      <c r="H41" s="17">
        <v>0.284</v>
      </c>
      <c r="I41" s="17">
        <v>0.097</v>
      </c>
      <c r="J41" s="17">
        <v>0.146</v>
      </c>
      <c r="K41" s="17">
        <v>0.41</v>
      </c>
      <c r="L41" s="15">
        <v>2636.0</v>
      </c>
    </row>
    <row r="42">
      <c r="A42" s="15" t="s">
        <v>49</v>
      </c>
      <c r="B42" s="16">
        <v>67.8618461</v>
      </c>
      <c r="C42" s="6">
        <f t="shared" si="2"/>
        <v>6.538</v>
      </c>
      <c r="D42" s="17">
        <v>0.083</v>
      </c>
      <c r="E42" s="17">
        <v>0.05</v>
      </c>
      <c r="F42" s="17">
        <v>1.195</v>
      </c>
      <c r="G42" s="6">
        <v>1.25</v>
      </c>
      <c r="H42" s="17">
        <v>0.28</v>
      </c>
      <c r="I42" s="17">
        <v>0.086</v>
      </c>
      <c r="J42" s="17">
        <v>0.124</v>
      </c>
      <c r="K42" s="17">
        <v>0.394</v>
      </c>
      <c r="L42" s="15">
        <v>2518.0</v>
      </c>
    </row>
    <row r="43">
      <c r="A43" s="15" t="s">
        <v>50</v>
      </c>
      <c r="B43" s="16">
        <v>67.8618461</v>
      </c>
      <c r="C43" s="6">
        <f t="shared" si="2"/>
        <v>0.972</v>
      </c>
      <c r="D43" s="17">
        <v>0.05</v>
      </c>
      <c r="E43" s="17">
        <v>0.623</v>
      </c>
      <c r="F43" s="17">
        <v>2.029</v>
      </c>
      <c r="G43" s="6">
        <v>5.0</v>
      </c>
      <c r="H43" s="17">
        <v>0.08</v>
      </c>
      <c r="I43" s="17">
        <v>0.316</v>
      </c>
      <c r="J43" s="17">
        <v>0.4</v>
      </c>
      <c r="K43" s="17">
        <v>0.53</v>
      </c>
      <c r="L43" s="15">
        <v>528.0</v>
      </c>
    </row>
    <row r="44">
      <c r="A44" s="15" t="s">
        <v>51</v>
      </c>
      <c r="B44" s="16">
        <v>67.8618461</v>
      </c>
      <c r="C44" s="6">
        <f t="shared" si="2"/>
        <v>6.241</v>
      </c>
      <c r="D44" s="17">
        <v>0.082</v>
      </c>
      <c r="E44" s="17">
        <v>0.019</v>
      </c>
      <c r="F44" s="17">
        <v>1.206</v>
      </c>
      <c r="G44" s="6">
        <v>1.53</v>
      </c>
      <c r="H44" s="17">
        <v>0.289</v>
      </c>
      <c r="I44" s="17">
        <v>0.08</v>
      </c>
      <c r="J44" s="5">
        <v>0.135</v>
      </c>
      <c r="K44" s="17">
        <v>0.418</v>
      </c>
      <c r="L44" s="15">
        <v>1643.0</v>
      </c>
    </row>
    <row r="45">
      <c r="A45" s="15" t="s">
        <v>52</v>
      </c>
      <c r="B45" s="16">
        <v>67.8618461</v>
      </c>
      <c r="C45" s="6">
        <f t="shared" si="2"/>
        <v>6.556</v>
      </c>
      <c r="D45" s="17">
        <v>0.083</v>
      </c>
      <c r="E45" s="17">
        <v>0.093</v>
      </c>
      <c r="F45" s="17">
        <v>1.203</v>
      </c>
      <c r="G45" s="6">
        <v>1.17</v>
      </c>
      <c r="H45" s="17">
        <v>0.296</v>
      </c>
      <c r="I45" s="17">
        <v>0.047</v>
      </c>
      <c r="J45" s="17">
        <v>0.141</v>
      </c>
      <c r="K45" s="17">
        <v>0.411</v>
      </c>
      <c r="L45" s="15">
        <v>2344.0</v>
      </c>
    </row>
    <row r="46">
      <c r="A46" s="15" t="s">
        <v>53</v>
      </c>
      <c r="B46" s="16">
        <v>67.8618461</v>
      </c>
      <c r="C46" s="6">
        <f t="shared" si="2"/>
        <v>2.474</v>
      </c>
      <c r="D46" s="17">
        <v>0.086</v>
      </c>
      <c r="E46" s="17">
        <v>0.483</v>
      </c>
      <c r="F46" s="17">
        <v>2.013</v>
      </c>
      <c r="G46" s="6">
        <v>4.06</v>
      </c>
      <c r="H46" s="17">
        <v>0.301</v>
      </c>
      <c r="I46" s="17">
        <v>0.094</v>
      </c>
      <c r="J46" s="17">
        <v>0.014</v>
      </c>
      <c r="K46" s="17">
        <v>0.475</v>
      </c>
      <c r="L46" s="15">
        <v>409.0</v>
      </c>
    </row>
    <row r="47">
      <c r="A47" s="15" t="s">
        <v>54</v>
      </c>
      <c r="B47" s="16">
        <v>67.8618461</v>
      </c>
      <c r="C47" s="6">
        <f t="shared" si="2"/>
        <v>3.671</v>
      </c>
      <c r="D47" s="17">
        <v>0.098</v>
      </c>
      <c r="E47" s="17">
        <v>0.49</v>
      </c>
      <c r="F47" s="17">
        <v>0.094</v>
      </c>
      <c r="G47" s="6">
        <v>5.0</v>
      </c>
      <c r="H47" s="17">
        <v>0.021</v>
      </c>
      <c r="I47" s="17">
        <v>0.061</v>
      </c>
      <c r="J47" s="17">
        <v>0.171</v>
      </c>
      <c r="K47" s="17">
        <v>0.394</v>
      </c>
      <c r="L47" s="15">
        <v>183.0</v>
      </c>
    </row>
    <row r="48">
      <c r="A48" s="15" t="s">
        <v>55</v>
      </c>
      <c r="B48" s="16">
        <v>67.8618461</v>
      </c>
      <c r="C48" s="6">
        <f t="shared" si="2"/>
        <v>6.25</v>
      </c>
      <c r="D48" s="17">
        <v>0.08</v>
      </c>
      <c r="E48" s="17">
        <v>0.083</v>
      </c>
      <c r="F48" s="17">
        <v>1.209</v>
      </c>
      <c r="G48" s="6">
        <v>1.4</v>
      </c>
      <c r="H48" s="17">
        <v>0.319</v>
      </c>
      <c r="I48" s="17">
        <v>0.088</v>
      </c>
      <c r="J48" s="17">
        <v>0.149</v>
      </c>
      <c r="K48" s="17">
        <v>0.422</v>
      </c>
      <c r="L48" s="15">
        <v>5990.0</v>
      </c>
    </row>
    <row r="49">
      <c r="A49" s="15" t="s">
        <v>56</v>
      </c>
      <c r="B49" s="16">
        <v>67.8618461</v>
      </c>
      <c r="C49" s="6">
        <f t="shared" si="2"/>
        <v>4.225</v>
      </c>
      <c r="D49" s="17">
        <v>0.087</v>
      </c>
      <c r="E49" s="17">
        <v>0.497</v>
      </c>
      <c r="F49" s="17">
        <v>2.099</v>
      </c>
      <c r="G49" s="6">
        <v>2.8</v>
      </c>
      <c r="H49" s="17">
        <v>0.049</v>
      </c>
      <c r="I49" s="17">
        <v>0.087</v>
      </c>
      <c r="J49" s="17">
        <v>0.056</v>
      </c>
      <c r="K49" s="17">
        <v>0.1</v>
      </c>
      <c r="L49" s="15">
        <v>609.0</v>
      </c>
    </row>
    <row r="50">
      <c r="A50" s="15" t="s">
        <v>57</v>
      </c>
      <c r="B50" s="16">
        <v>67.8618461</v>
      </c>
      <c r="C50" s="6">
        <f t="shared" si="2"/>
        <v>5.755</v>
      </c>
      <c r="D50" s="17">
        <v>0.096</v>
      </c>
      <c r="E50" s="17">
        <v>0.416</v>
      </c>
      <c r="F50" s="17">
        <v>2.015</v>
      </c>
      <c r="G50" s="6">
        <v>0.88</v>
      </c>
      <c r="H50" s="17">
        <v>0.234</v>
      </c>
      <c r="I50" s="17">
        <v>0.304</v>
      </c>
      <c r="J50" s="17">
        <v>0.165</v>
      </c>
      <c r="K50" s="17">
        <v>0.135</v>
      </c>
      <c r="L50" s="15">
        <v>1681.0</v>
      </c>
    </row>
    <row r="51">
      <c r="A51" s="14" t="s">
        <v>2</v>
      </c>
      <c r="B51" s="18">
        <v>66.777</v>
      </c>
      <c r="C51" s="14">
        <v>10.0</v>
      </c>
      <c r="D51" s="9">
        <v>0.0</v>
      </c>
      <c r="E51" s="9">
        <v>0.0</v>
      </c>
      <c r="F51" s="9">
        <v>0.0</v>
      </c>
      <c r="G51" s="9">
        <v>0.0</v>
      </c>
      <c r="H51" s="9">
        <v>0.0</v>
      </c>
      <c r="I51" s="9">
        <v>0.0</v>
      </c>
      <c r="J51" s="9">
        <v>0.0</v>
      </c>
      <c r="K51" s="9">
        <v>0.0</v>
      </c>
      <c r="L51" s="14">
        <v>8.0</v>
      </c>
    </row>
    <row r="52">
      <c r="A52" s="15" t="s">
        <v>58</v>
      </c>
      <c r="B52" s="19">
        <v>66.77780023038432</v>
      </c>
      <c r="C52" s="6">
        <f t="shared" ref="C52:C54" si="3">10-SUM(D52:K52)</f>
        <v>8.642</v>
      </c>
      <c r="D52" s="5">
        <v>0.054</v>
      </c>
      <c r="E52" s="5">
        <v>0.601</v>
      </c>
      <c r="F52" s="5">
        <v>0.0</v>
      </c>
      <c r="G52" s="5">
        <v>0.0</v>
      </c>
      <c r="H52" s="5">
        <v>0.4</v>
      </c>
      <c r="I52" s="5">
        <v>0.184</v>
      </c>
      <c r="J52" s="5">
        <v>0.078</v>
      </c>
      <c r="K52" s="5">
        <v>0.041</v>
      </c>
      <c r="L52" s="15">
        <v>11282.0</v>
      </c>
    </row>
    <row r="53">
      <c r="A53" s="15" t="s">
        <v>59</v>
      </c>
      <c r="B53" s="19">
        <v>66.77780023038432</v>
      </c>
      <c r="C53" s="6">
        <f t="shared" si="3"/>
        <v>8.642</v>
      </c>
      <c r="D53" s="5">
        <v>0.054</v>
      </c>
      <c r="E53" s="5">
        <v>0.601</v>
      </c>
      <c r="F53" s="5">
        <v>0.0</v>
      </c>
      <c r="G53" s="5">
        <v>0.0</v>
      </c>
      <c r="H53" s="5">
        <v>0.4</v>
      </c>
      <c r="I53" s="5">
        <v>0.184</v>
      </c>
      <c r="J53" s="5">
        <v>0.078</v>
      </c>
      <c r="K53" s="5">
        <v>0.041</v>
      </c>
      <c r="L53" s="15">
        <v>9723.0</v>
      </c>
    </row>
    <row r="54">
      <c r="A54" s="15" t="s">
        <v>60</v>
      </c>
      <c r="B54" s="19">
        <v>66.77780023038432</v>
      </c>
      <c r="C54" s="6">
        <f t="shared" si="3"/>
        <v>8.642</v>
      </c>
      <c r="D54" s="5">
        <v>0.054</v>
      </c>
      <c r="E54" s="5">
        <v>0.601</v>
      </c>
      <c r="F54" s="5">
        <v>0.0</v>
      </c>
      <c r="G54" s="5">
        <v>0.0</v>
      </c>
      <c r="H54" s="5">
        <v>0.4</v>
      </c>
      <c r="I54" s="5">
        <v>0.184</v>
      </c>
      <c r="J54" s="5">
        <v>0.078</v>
      </c>
      <c r="K54" s="5">
        <v>0.041</v>
      </c>
      <c r="L54" s="15">
        <v>8941.0</v>
      </c>
    </row>
    <row r="55">
      <c r="A55" s="15" t="s">
        <v>61</v>
      </c>
      <c r="B55" s="19">
        <v>66.77780023038432</v>
      </c>
      <c r="C55" s="6">
        <f>7.26</f>
        <v>7.26</v>
      </c>
      <c r="D55" s="5">
        <v>0.077</v>
      </c>
      <c r="E55" s="5">
        <v>0.269</v>
      </c>
      <c r="F55" s="5">
        <v>1.575</v>
      </c>
      <c r="G55" s="5">
        <v>0.13</v>
      </c>
      <c r="H55" s="5">
        <v>0.099</v>
      </c>
      <c r="I55" s="5">
        <v>0.213</v>
      </c>
      <c r="J55" s="5">
        <v>0.379</v>
      </c>
      <c r="K55" s="5">
        <v>0.01</v>
      </c>
      <c r="L55" s="15">
        <v>1106.0</v>
      </c>
    </row>
    <row r="56">
      <c r="A56" s="15" t="s">
        <v>62</v>
      </c>
      <c r="B56" s="19">
        <v>66.77780023038432</v>
      </c>
      <c r="C56" s="6">
        <f t="shared" ref="C56:C68" si="4">10-SUM(D56:K56)</f>
        <v>6.491</v>
      </c>
      <c r="D56" s="5">
        <v>0.083</v>
      </c>
      <c r="E56" s="5">
        <v>0.074</v>
      </c>
      <c r="F56" s="5">
        <v>1.225</v>
      </c>
      <c r="G56" s="5">
        <v>1.21</v>
      </c>
      <c r="H56" s="5">
        <v>0.283</v>
      </c>
      <c r="I56" s="5">
        <v>0.075</v>
      </c>
      <c r="J56" s="5">
        <v>0.139</v>
      </c>
      <c r="K56" s="5">
        <v>0.42</v>
      </c>
      <c r="L56" s="15">
        <v>18003.0</v>
      </c>
    </row>
    <row r="57">
      <c r="A57" s="15" t="s">
        <v>63</v>
      </c>
      <c r="B57" s="19">
        <v>66.77780023038432</v>
      </c>
      <c r="C57" s="6">
        <f t="shared" si="4"/>
        <v>6.449</v>
      </c>
      <c r="D57" s="5">
        <v>0.085</v>
      </c>
      <c r="E57" s="5">
        <v>0.053</v>
      </c>
      <c r="F57" s="5">
        <v>1.184</v>
      </c>
      <c r="G57" s="5">
        <v>1.25</v>
      </c>
      <c r="H57" s="5">
        <v>0.295</v>
      </c>
      <c r="I57" s="5">
        <v>0.078</v>
      </c>
      <c r="J57" s="5">
        <v>0.17</v>
      </c>
      <c r="K57" s="5">
        <v>0.436</v>
      </c>
      <c r="L57" s="15">
        <v>17507.0</v>
      </c>
    </row>
    <row r="58">
      <c r="A58" s="15" t="s">
        <v>64</v>
      </c>
      <c r="B58" s="19">
        <v>66.77780023038432</v>
      </c>
      <c r="C58" s="6">
        <f t="shared" si="4"/>
        <v>6.448</v>
      </c>
      <c r="D58" s="5">
        <v>0.09</v>
      </c>
      <c r="E58" s="5">
        <v>0.0</v>
      </c>
      <c r="F58" s="5">
        <v>0.396</v>
      </c>
      <c r="G58" s="5">
        <v>2.03</v>
      </c>
      <c r="H58" s="5">
        <v>0.19</v>
      </c>
      <c r="I58" s="5">
        <v>0.136</v>
      </c>
      <c r="J58" s="5">
        <v>0.175</v>
      </c>
      <c r="K58" s="5">
        <v>0.535</v>
      </c>
      <c r="L58" s="15">
        <v>2288.0</v>
      </c>
    </row>
    <row r="59">
      <c r="A59" s="15" t="s">
        <v>65</v>
      </c>
      <c r="B59" s="19">
        <v>66.77780023038432</v>
      </c>
      <c r="C59" s="6">
        <f t="shared" si="4"/>
        <v>6.384</v>
      </c>
      <c r="D59" s="5">
        <v>0.08</v>
      </c>
      <c r="E59" s="5">
        <v>0.073</v>
      </c>
      <c r="F59" s="5">
        <v>1.267</v>
      </c>
      <c r="G59" s="5">
        <v>1.26</v>
      </c>
      <c r="H59" s="5">
        <v>0.297</v>
      </c>
      <c r="I59" s="5">
        <v>0.079</v>
      </c>
      <c r="J59" s="5">
        <v>0.16</v>
      </c>
      <c r="K59" s="5">
        <v>0.4</v>
      </c>
      <c r="L59" s="15">
        <v>11857.0</v>
      </c>
    </row>
    <row r="60">
      <c r="A60" s="15" t="s">
        <v>66</v>
      </c>
      <c r="B60" s="19">
        <v>66.77780023038432</v>
      </c>
      <c r="C60" s="6">
        <f t="shared" si="4"/>
        <v>6.279</v>
      </c>
      <c r="D60" s="5">
        <v>0.083</v>
      </c>
      <c r="E60" s="5">
        <v>0.085</v>
      </c>
      <c r="F60" s="5">
        <v>1.169</v>
      </c>
      <c r="G60" s="5">
        <v>1.44</v>
      </c>
      <c r="H60" s="5">
        <v>0.3</v>
      </c>
      <c r="I60" s="5">
        <v>0.097</v>
      </c>
      <c r="J60" s="5">
        <v>0.137</v>
      </c>
      <c r="K60" s="5">
        <v>0.41</v>
      </c>
      <c r="L60" s="15">
        <v>4788.0</v>
      </c>
    </row>
    <row r="61">
      <c r="A61" s="15" t="s">
        <v>67</v>
      </c>
      <c r="B61" s="19">
        <v>66.77780023038432</v>
      </c>
      <c r="C61" s="6">
        <f t="shared" si="4"/>
        <v>6.134</v>
      </c>
      <c r="D61" s="5">
        <v>0.057</v>
      </c>
      <c r="E61" s="5">
        <v>0.777</v>
      </c>
      <c r="F61" s="5">
        <v>0.713</v>
      </c>
      <c r="G61" s="5">
        <v>1.11</v>
      </c>
      <c r="H61" s="5">
        <v>0.4</v>
      </c>
      <c r="I61" s="5">
        <v>0.04</v>
      </c>
      <c r="J61" s="5">
        <v>0.218</v>
      </c>
      <c r="K61" s="5">
        <v>0.551</v>
      </c>
      <c r="L61" s="15">
        <v>2107.0</v>
      </c>
    </row>
    <row r="62">
      <c r="A62" s="15" t="s">
        <v>68</v>
      </c>
      <c r="B62" s="19">
        <v>66.77780023038432</v>
      </c>
      <c r="C62" s="6">
        <f t="shared" si="4"/>
        <v>5.341</v>
      </c>
      <c r="D62" s="5">
        <v>0.06</v>
      </c>
      <c r="E62" s="5">
        <v>0.253</v>
      </c>
      <c r="F62" s="5">
        <v>1.794</v>
      </c>
      <c r="G62" s="5">
        <v>1.31</v>
      </c>
      <c r="H62" s="5">
        <v>0.334</v>
      </c>
      <c r="I62" s="5">
        <v>0.3</v>
      </c>
      <c r="J62" s="5">
        <v>0.307</v>
      </c>
      <c r="K62" s="5">
        <v>0.301</v>
      </c>
      <c r="L62" s="15">
        <v>1139.0</v>
      </c>
    </row>
    <row r="63">
      <c r="A63" s="15" t="s">
        <v>69</v>
      </c>
      <c r="B63" s="19">
        <v>66.77780023038432</v>
      </c>
      <c r="C63" s="6">
        <f t="shared" si="4"/>
        <v>4.624</v>
      </c>
      <c r="D63" s="5">
        <v>0.068</v>
      </c>
      <c r="E63" s="5">
        <v>0.286</v>
      </c>
      <c r="F63" s="5">
        <v>1.667</v>
      </c>
      <c r="G63" s="5">
        <v>2.45</v>
      </c>
      <c r="H63" s="5">
        <v>0.382</v>
      </c>
      <c r="I63" s="5">
        <v>0.118</v>
      </c>
      <c r="J63" s="5">
        <v>0.144</v>
      </c>
      <c r="K63" s="5">
        <v>0.261</v>
      </c>
      <c r="L63" s="15">
        <v>162.0</v>
      </c>
    </row>
    <row r="64">
      <c r="A64" s="15" t="s">
        <v>70</v>
      </c>
      <c r="B64" s="19">
        <v>66.77780023038432</v>
      </c>
      <c r="C64" s="6">
        <f t="shared" si="4"/>
        <v>4.546</v>
      </c>
      <c r="D64" s="5">
        <v>0.067</v>
      </c>
      <c r="E64" s="5">
        <v>0.202</v>
      </c>
      <c r="F64" s="5">
        <v>1.872</v>
      </c>
      <c r="G64" s="5">
        <v>2.78</v>
      </c>
      <c r="H64" s="5">
        <v>0.164</v>
      </c>
      <c r="I64" s="5">
        <v>0.285</v>
      </c>
      <c r="J64" s="5">
        <v>0.033</v>
      </c>
      <c r="K64" s="5">
        <v>0.051</v>
      </c>
      <c r="L64" s="15">
        <v>21.0</v>
      </c>
    </row>
    <row r="65">
      <c r="A65" s="15" t="s">
        <v>71</v>
      </c>
      <c r="B65" s="19">
        <v>66.77780023038432</v>
      </c>
      <c r="C65" s="6">
        <f t="shared" si="4"/>
        <v>4.533</v>
      </c>
      <c r="D65" s="5">
        <v>0.083</v>
      </c>
      <c r="E65" s="5">
        <v>0.527</v>
      </c>
      <c r="F65" s="5">
        <v>0.46</v>
      </c>
      <c r="G65" s="5">
        <v>3.19</v>
      </c>
      <c r="H65" s="5">
        <v>0.232</v>
      </c>
      <c r="I65" s="15">
        <v>0.135</v>
      </c>
      <c r="J65" s="5">
        <v>0.173</v>
      </c>
      <c r="K65" s="5">
        <v>0.667</v>
      </c>
      <c r="L65" s="15">
        <v>705.0</v>
      </c>
    </row>
    <row r="66">
      <c r="A66" s="15" t="s">
        <v>55</v>
      </c>
      <c r="B66" s="19">
        <v>66.77780023038432</v>
      </c>
      <c r="C66" s="6">
        <f t="shared" si="4"/>
        <v>4.274</v>
      </c>
      <c r="D66" s="5">
        <v>0.1</v>
      </c>
      <c r="E66" s="5">
        <v>0.325</v>
      </c>
      <c r="F66" s="5">
        <v>0.871</v>
      </c>
      <c r="G66" s="5">
        <v>3.28</v>
      </c>
      <c r="H66" s="5">
        <v>0.277</v>
      </c>
      <c r="I66" s="5">
        <v>0.297</v>
      </c>
      <c r="J66" s="5">
        <v>0.158</v>
      </c>
      <c r="K66" s="5">
        <v>0.418</v>
      </c>
      <c r="L66" s="15">
        <v>146.0</v>
      </c>
    </row>
    <row r="67">
      <c r="A67" s="15" t="s">
        <v>72</v>
      </c>
      <c r="B67" s="19">
        <v>66.77780023038432</v>
      </c>
      <c r="C67" s="6">
        <f t="shared" si="4"/>
        <v>3.623</v>
      </c>
      <c r="D67" s="5">
        <v>0.096</v>
      </c>
      <c r="E67" s="5">
        <v>0.353</v>
      </c>
      <c r="F67" s="5">
        <v>0.687</v>
      </c>
      <c r="G67" s="5">
        <v>4.98</v>
      </c>
      <c r="H67" s="5">
        <v>0.03</v>
      </c>
      <c r="I67" s="5">
        <v>0.038</v>
      </c>
      <c r="J67" s="5">
        <v>0.12</v>
      </c>
      <c r="K67" s="5">
        <v>0.073</v>
      </c>
      <c r="L67" s="15">
        <v>57.0</v>
      </c>
    </row>
    <row r="68">
      <c r="A68" s="15" t="s">
        <v>73</v>
      </c>
      <c r="B68" s="19">
        <v>66.77780023038432</v>
      </c>
      <c r="C68" s="6">
        <f t="shared" si="4"/>
        <v>2.735</v>
      </c>
      <c r="D68" s="5">
        <v>0.056</v>
      </c>
      <c r="E68" s="5">
        <v>0.743</v>
      </c>
      <c r="F68" s="5">
        <v>0.977</v>
      </c>
      <c r="G68" s="5">
        <v>4.4</v>
      </c>
      <c r="H68" s="5">
        <v>0.286</v>
      </c>
      <c r="I68" s="5">
        <v>0.07</v>
      </c>
      <c r="J68" s="5">
        <v>0.208</v>
      </c>
      <c r="K68" s="5">
        <v>0.525</v>
      </c>
      <c r="L68" s="15">
        <v>180.0</v>
      </c>
    </row>
    <row r="69">
      <c r="A69" s="20" t="s">
        <v>2</v>
      </c>
      <c r="B69" s="13">
        <v>69.14</v>
      </c>
      <c r="C69" s="14">
        <v>10.0</v>
      </c>
      <c r="D69" s="14">
        <v>0.0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12.0</v>
      </c>
    </row>
    <row r="70">
      <c r="A70" s="15" t="s">
        <v>74</v>
      </c>
      <c r="B70" s="16">
        <v>69.14187471</v>
      </c>
      <c r="C70" s="6">
        <f t="shared" ref="C70:C86" si="5">10-SUM(D70:K70)</f>
        <v>7.241</v>
      </c>
      <c r="D70" s="15">
        <v>0.081</v>
      </c>
      <c r="E70" s="15">
        <v>0.033</v>
      </c>
      <c r="F70" s="15">
        <v>1.103</v>
      </c>
      <c r="G70" s="15">
        <v>0.71</v>
      </c>
      <c r="H70" s="15">
        <v>0.19</v>
      </c>
      <c r="I70" s="15">
        <v>0.054</v>
      </c>
      <c r="J70" s="15">
        <v>0.171</v>
      </c>
      <c r="K70" s="15">
        <v>0.417</v>
      </c>
      <c r="L70" s="15">
        <v>2850.0</v>
      </c>
    </row>
    <row r="71">
      <c r="A71" s="15" t="s">
        <v>75</v>
      </c>
      <c r="B71" s="16">
        <v>69.14187471</v>
      </c>
      <c r="C71" s="6">
        <f t="shared" si="5"/>
        <v>7.241</v>
      </c>
      <c r="D71" s="15">
        <v>0.081</v>
      </c>
      <c r="E71" s="15">
        <v>0.033</v>
      </c>
      <c r="F71" s="15">
        <v>1.103</v>
      </c>
      <c r="G71" s="15">
        <v>0.71</v>
      </c>
      <c r="H71" s="15">
        <v>0.19</v>
      </c>
      <c r="I71" s="15">
        <v>0.054</v>
      </c>
      <c r="J71" s="15">
        <v>0.171</v>
      </c>
      <c r="K71" s="15">
        <v>0.417</v>
      </c>
      <c r="L71" s="15">
        <v>2218.0</v>
      </c>
    </row>
    <row r="72">
      <c r="A72" s="15" t="s">
        <v>76</v>
      </c>
      <c r="B72" s="16">
        <v>69.14187471</v>
      </c>
      <c r="C72" s="6">
        <f t="shared" si="5"/>
        <v>7.241</v>
      </c>
      <c r="D72" s="15">
        <v>0.081</v>
      </c>
      <c r="E72" s="15">
        <v>0.033</v>
      </c>
      <c r="F72" s="15">
        <v>1.103</v>
      </c>
      <c r="G72" s="15">
        <v>0.71</v>
      </c>
      <c r="H72" s="15">
        <v>0.19</v>
      </c>
      <c r="I72" s="15">
        <v>0.054</v>
      </c>
      <c r="J72" s="15">
        <v>0.171</v>
      </c>
      <c r="K72" s="15">
        <v>0.417</v>
      </c>
      <c r="L72" s="15">
        <v>2104.0</v>
      </c>
    </row>
    <row r="73">
      <c r="A73" s="15" t="s">
        <v>77</v>
      </c>
      <c r="B73" s="16">
        <v>69.14187471</v>
      </c>
      <c r="C73" s="6">
        <f t="shared" si="5"/>
        <v>8.693</v>
      </c>
      <c r="D73" s="15">
        <v>0.05</v>
      </c>
      <c r="E73" s="15">
        <v>0.67</v>
      </c>
      <c r="F73" s="15">
        <v>0.0</v>
      </c>
      <c r="G73" s="15">
        <v>0.0</v>
      </c>
      <c r="H73" s="15">
        <v>0.4</v>
      </c>
      <c r="I73" s="15">
        <v>0.158</v>
      </c>
      <c r="J73" s="15">
        <v>0.029</v>
      </c>
      <c r="K73" s="15">
        <v>0.0</v>
      </c>
      <c r="L73" s="15">
        <v>590.0</v>
      </c>
    </row>
    <row r="74">
      <c r="A74" s="15" t="s">
        <v>78</v>
      </c>
      <c r="B74" s="16">
        <v>69.14187471</v>
      </c>
      <c r="C74" s="6">
        <f t="shared" si="5"/>
        <v>6.937</v>
      </c>
      <c r="D74" s="15">
        <v>0.082</v>
      </c>
      <c r="E74" s="15">
        <v>0.016</v>
      </c>
      <c r="F74" s="15">
        <v>1.149</v>
      </c>
      <c r="G74" s="15">
        <v>0.94</v>
      </c>
      <c r="H74" s="15">
        <v>0.164</v>
      </c>
      <c r="I74" s="15">
        <v>0.096</v>
      </c>
      <c r="J74" s="15">
        <v>0.141</v>
      </c>
      <c r="K74" s="15">
        <v>0.475</v>
      </c>
      <c r="L74" s="15">
        <v>2684.0</v>
      </c>
    </row>
    <row r="75">
      <c r="A75" s="15" t="s">
        <v>79</v>
      </c>
      <c r="B75" s="16">
        <v>69.14187471</v>
      </c>
      <c r="C75" s="6">
        <f t="shared" si="5"/>
        <v>6.935</v>
      </c>
      <c r="D75" s="15">
        <v>0.087</v>
      </c>
      <c r="E75" s="15">
        <v>0.028</v>
      </c>
      <c r="F75" s="15">
        <v>1.177</v>
      </c>
      <c r="G75" s="15">
        <v>0.74</v>
      </c>
      <c r="H75" s="15">
        <v>0.4</v>
      </c>
      <c r="I75" s="15">
        <v>0.052</v>
      </c>
      <c r="J75" s="15">
        <v>0.139</v>
      </c>
      <c r="K75" s="15">
        <v>0.442</v>
      </c>
      <c r="L75" s="15">
        <v>2781.0</v>
      </c>
    </row>
    <row r="76">
      <c r="A76" s="15" t="s">
        <v>80</v>
      </c>
      <c r="B76" s="16">
        <v>69.14187471</v>
      </c>
      <c r="C76" s="6">
        <f t="shared" si="5"/>
        <v>6.638</v>
      </c>
      <c r="D76" s="15">
        <v>0.086</v>
      </c>
      <c r="E76" s="15">
        <v>0.01</v>
      </c>
      <c r="F76" s="15">
        <v>1.396</v>
      </c>
      <c r="G76" s="15">
        <v>1.0</v>
      </c>
      <c r="H76" s="15">
        <v>0.283</v>
      </c>
      <c r="I76" s="15">
        <v>0.071</v>
      </c>
      <c r="J76" s="15">
        <v>0.15</v>
      </c>
      <c r="K76" s="15">
        <v>0.366</v>
      </c>
      <c r="L76" s="15">
        <v>4568.0</v>
      </c>
    </row>
    <row r="77">
      <c r="A77" s="15" t="s">
        <v>81</v>
      </c>
      <c r="B77" s="16">
        <v>69.14187471</v>
      </c>
      <c r="C77" s="6">
        <f t="shared" si="5"/>
        <v>6.623</v>
      </c>
      <c r="D77" s="15">
        <v>0.082</v>
      </c>
      <c r="E77" s="15">
        <v>0.111</v>
      </c>
      <c r="F77" s="15">
        <v>1.48</v>
      </c>
      <c r="G77" s="15">
        <v>0.9</v>
      </c>
      <c r="H77" s="15">
        <v>0.099</v>
      </c>
      <c r="I77" s="15">
        <v>0.048</v>
      </c>
      <c r="J77" s="15">
        <v>0.145</v>
      </c>
      <c r="K77" s="15">
        <v>0.512</v>
      </c>
      <c r="L77" s="15">
        <v>2516.0</v>
      </c>
    </row>
    <row r="78">
      <c r="A78" s="15" t="s">
        <v>82</v>
      </c>
      <c r="B78" s="16">
        <v>69.14187471</v>
      </c>
      <c r="C78" s="6">
        <f t="shared" si="5"/>
        <v>6.61</v>
      </c>
      <c r="D78" s="15">
        <v>0.087</v>
      </c>
      <c r="E78" s="15">
        <v>0.073</v>
      </c>
      <c r="F78" s="15">
        <v>1.175</v>
      </c>
      <c r="G78" s="15">
        <v>1.17</v>
      </c>
      <c r="H78" s="15">
        <v>0.3</v>
      </c>
      <c r="I78" s="15">
        <v>0.07</v>
      </c>
      <c r="J78" s="15">
        <v>0.18</v>
      </c>
      <c r="K78" s="15">
        <v>0.335</v>
      </c>
      <c r="L78" s="15">
        <v>1829.0</v>
      </c>
    </row>
    <row r="79">
      <c r="A79" s="15" t="s">
        <v>83</v>
      </c>
      <c r="B79" s="16">
        <v>69.14187471</v>
      </c>
      <c r="C79" s="6">
        <f t="shared" si="5"/>
        <v>6.568</v>
      </c>
      <c r="D79" s="15">
        <v>0.079</v>
      </c>
      <c r="E79" s="15">
        <v>0.028</v>
      </c>
      <c r="F79" s="15">
        <v>1.414</v>
      </c>
      <c r="G79" s="15">
        <v>0.83</v>
      </c>
      <c r="H79" s="15">
        <v>0.382</v>
      </c>
      <c r="I79" s="15">
        <v>0.084</v>
      </c>
      <c r="J79" s="15">
        <v>0.19</v>
      </c>
      <c r="K79" s="15">
        <v>0.425</v>
      </c>
      <c r="L79" s="15">
        <v>2068.0</v>
      </c>
    </row>
    <row r="80">
      <c r="A80" s="15" t="s">
        <v>84</v>
      </c>
      <c r="B80" s="16">
        <v>69.14187471</v>
      </c>
      <c r="C80" s="6">
        <f t="shared" si="5"/>
        <v>6.566</v>
      </c>
      <c r="D80" s="15">
        <v>0.08</v>
      </c>
      <c r="E80" s="15">
        <v>0.132</v>
      </c>
      <c r="F80" s="15">
        <v>1.386</v>
      </c>
      <c r="G80" s="15">
        <v>0.82</v>
      </c>
      <c r="H80" s="15">
        <v>0.334</v>
      </c>
      <c r="I80" s="15">
        <v>0.091</v>
      </c>
      <c r="J80" s="15">
        <v>0.152</v>
      </c>
      <c r="K80" s="15">
        <v>0.439</v>
      </c>
      <c r="L80" s="15">
        <v>6503.0</v>
      </c>
    </row>
    <row r="81">
      <c r="A81" s="15" t="s">
        <v>85</v>
      </c>
      <c r="B81" s="16">
        <v>69.14187471</v>
      </c>
      <c r="C81" s="6">
        <f t="shared" si="5"/>
        <v>6.484</v>
      </c>
      <c r="D81" s="15">
        <v>0.079</v>
      </c>
      <c r="E81" s="15">
        <v>0.057</v>
      </c>
      <c r="F81" s="15">
        <v>1.017</v>
      </c>
      <c r="G81" s="15">
        <v>1.41</v>
      </c>
      <c r="H81" s="15">
        <v>0.277</v>
      </c>
      <c r="I81" s="15">
        <v>0.046</v>
      </c>
      <c r="J81" s="15">
        <v>0.161</v>
      </c>
      <c r="K81" s="15">
        <v>0.469</v>
      </c>
      <c r="L81" s="15">
        <v>10553.0</v>
      </c>
    </row>
    <row r="82">
      <c r="A82" s="15" t="s">
        <v>86</v>
      </c>
      <c r="B82" s="16">
        <v>69.14187471</v>
      </c>
      <c r="C82" s="6">
        <f t="shared" si="5"/>
        <v>6.261</v>
      </c>
      <c r="D82" s="15">
        <v>0.086</v>
      </c>
      <c r="E82" s="15">
        <v>0.117</v>
      </c>
      <c r="F82" s="15">
        <v>1.22</v>
      </c>
      <c r="G82" s="15">
        <v>1.29</v>
      </c>
      <c r="H82" s="15">
        <v>0.297</v>
      </c>
      <c r="I82" s="15">
        <v>0.073</v>
      </c>
      <c r="J82" s="15">
        <v>0.198</v>
      </c>
      <c r="K82" s="15">
        <v>0.458</v>
      </c>
      <c r="L82" s="15">
        <v>14205.0</v>
      </c>
    </row>
    <row r="83">
      <c r="A83" s="15" t="s">
        <v>87</v>
      </c>
      <c r="B83" s="16">
        <v>69.14187471</v>
      </c>
      <c r="C83" s="6">
        <f t="shared" si="5"/>
        <v>6.103</v>
      </c>
      <c r="D83" s="15">
        <v>0.082</v>
      </c>
      <c r="E83" s="15">
        <v>0.047</v>
      </c>
      <c r="F83" s="15">
        <v>1.452</v>
      </c>
      <c r="G83" s="15">
        <v>1.55</v>
      </c>
      <c r="H83" s="15">
        <v>0.03</v>
      </c>
      <c r="I83" s="15">
        <v>0.069</v>
      </c>
      <c r="J83" s="15">
        <v>0.202</v>
      </c>
      <c r="K83" s="15">
        <v>0.465</v>
      </c>
      <c r="L83" s="15">
        <v>4159.0</v>
      </c>
    </row>
    <row r="84">
      <c r="A84" s="15" t="s">
        <v>88</v>
      </c>
      <c r="B84" s="16">
        <v>69.14187471</v>
      </c>
      <c r="C84" s="6">
        <f t="shared" si="5"/>
        <v>5.824</v>
      </c>
      <c r="D84" s="15">
        <v>0.08</v>
      </c>
      <c r="E84" s="15">
        <v>0.031</v>
      </c>
      <c r="F84" s="15">
        <v>1.404</v>
      </c>
      <c r="G84" s="15">
        <v>1.81</v>
      </c>
      <c r="H84" s="15">
        <v>0.232</v>
      </c>
      <c r="I84" s="15">
        <v>0.083</v>
      </c>
      <c r="J84" s="15">
        <v>0.121</v>
      </c>
      <c r="K84" s="15">
        <v>0.415</v>
      </c>
      <c r="L84" s="15">
        <v>729.0</v>
      </c>
    </row>
    <row r="85">
      <c r="A85" s="15" t="s">
        <v>89</v>
      </c>
      <c r="B85" s="16">
        <v>69.14187471</v>
      </c>
      <c r="C85" s="6">
        <f t="shared" si="5"/>
        <v>4.551</v>
      </c>
      <c r="D85" s="15">
        <v>0.075</v>
      </c>
      <c r="E85" s="15">
        <v>0.738</v>
      </c>
      <c r="F85" s="15">
        <v>0.623</v>
      </c>
      <c r="G85" s="15">
        <v>2.44</v>
      </c>
      <c r="H85" s="15">
        <v>0.286</v>
      </c>
      <c r="I85" s="15">
        <v>0.257</v>
      </c>
      <c r="J85" s="15">
        <v>0.4</v>
      </c>
      <c r="K85" s="15">
        <v>0.63</v>
      </c>
      <c r="L85" s="15">
        <v>719.0</v>
      </c>
    </row>
    <row r="86">
      <c r="A86" s="15" t="s">
        <v>90</v>
      </c>
      <c r="B86" s="16">
        <v>69.14187471</v>
      </c>
      <c r="C86" s="6">
        <f t="shared" si="5"/>
        <v>2.593</v>
      </c>
      <c r="D86" s="15">
        <v>0.061</v>
      </c>
      <c r="E86" s="15">
        <v>0.174</v>
      </c>
      <c r="F86" s="15">
        <v>1.976</v>
      </c>
      <c r="G86" s="15">
        <v>3.69</v>
      </c>
      <c r="H86" s="15">
        <v>0.295</v>
      </c>
      <c r="I86" s="15">
        <v>0.323</v>
      </c>
      <c r="J86" s="15">
        <v>0.32</v>
      </c>
      <c r="K86" s="15">
        <v>0.568</v>
      </c>
      <c r="L86" s="15">
        <v>116.0</v>
      </c>
    </row>
    <row r="87">
      <c r="A87" s="21" t="s">
        <v>2</v>
      </c>
      <c r="B87" s="13">
        <v>66.8</v>
      </c>
      <c r="C87" s="14">
        <v>10.0</v>
      </c>
      <c r="D87" s="14">
        <v>0.0</v>
      </c>
      <c r="E87" s="14">
        <v>0.0</v>
      </c>
      <c r="F87" s="14">
        <v>0.0</v>
      </c>
      <c r="G87" s="14">
        <v>0.0</v>
      </c>
      <c r="H87" s="14">
        <v>0.0</v>
      </c>
      <c r="I87" s="14">
        <v>0.0</v>
      </c>
      <c r="J87" s="14">
        <v>0.0</v>
      </c>
      <c r="K87" s="14">
        <v>0.0</v>
      </c>
      <c r="L87" s="14">
        <v>45.0</v>
      </c>
    </row>
    <row r="88">
      <c r="A88" s="22" t="s">
        <v>91</v>
      </c>
      <c r="B88" s="19">
        <v>66.77780023038432</v>
      </c>
      <c r="C88" s="6">
        <f t="shared" ref="C88:C146" si="6">10-SUM(D88:K88)</f>
        <v>8.189</v>
      </c>
      <c r="D88" s="15">
        <v>0.07</v>
      </c>
      <c r="E88" s="15">
        <v>0.028</v>
      </c>
      <c r="F88" s="15">
        <v>0.481</v>
      </c>
      <c r="G88" s="15">
        <v>0.29</v>
      </c>
      <c r="H88" s="15">
        <v>0.062</v>
      </c>
      <c r="I88" s="15">
        <v>0.299</v>
      </c>
      <c r="J88" s="15">
        <v>0.17</v>
      </c>
      <c r="K88" s="15">
        <v>0.411</v>
      </c>
      <c r="L88" s="15">
        <v>4733.0</v>
      </c>
    </row>
    <row r="89">
      <c r="A89" s="22" t="s">
        <v>92</v>
      </c>
      <c r="B89" s="19">
        <v>66.77780023038432</v>
      </c>
      <c r="C89" s="6">
        <f t="shared" si="6"/>
        <v>7.971</v>
      </c>
      <c r="D89" s="15">
        <v>0.1</v>
      </c>
      <c r="E89" s="15">
        <v>0.182</v>
      </c>
      <c r="F89" s="15">
        <v>0.149</v>
      </c>
      <c r="G89" s="15">
        <v>0.64</v>
      </c>
      <c r="H89" s="15">
        <v>0.136</v>
      </c>
      <c r="I89" s="15">
        <v>0.357</v>
      </c>
      <c r="J89" s="15">
        <v>0.191</v>
      </c>
      <c r="K89" s="15">
        <v>0.274</v>
      </c>
      <c r="L89" s="15">
        <v>3293.0</v>
      </c>
    </row>
    <row r="90">
      <c r="A90" s="22" t="s">
        <v>93</v>
      </c>
      <c r="B90" s="19">
        <v>66.77780023038432</v>
      </c>
      <c r="C90" s="6">
        <f t="shared" si="6"/>
        <v>4.94</v>
      </c>
      <c r="D90" s="15">
        <v>0.09</v>
      </c>
      <c r="E90" s="15">
        <v>0.679</v>
      </c>
      <c r="F90" s="15">
        <v>1.907</v>
      </c>
      <c r="G90" s="15">
        <v>1.06</v>
      </c>
      <c r="H90" s="15">
        <v>0.324</v>
      </c>
      <c r="I90" s="15">
        <v>0.103</v>
      </c>
      <c r="J90" s="15">
        <v>0.322</v>
      </c>
      <c r="K90" s="15">
        <v>0.575</v>
      </c>
      <c r="L90" s="15">
        <v>2306.0</v>
      </c>
    </row>
    <row r="91">
      <c r="A91" s="22" t="s">
        <v>94</v>
      </c>
      <c r="B91" s="19">
        <v>66.77780023038432</v>
      </c>
      <c r="C91" s="6">
        <f t="shared" si="6"/>
        <v>6.066</v>
      </c>
      <c r="D91" s="15">
        <v>0.064</v>
      </c>
      <c r="E91" s="15">
        <v>0.13</v>
      </c>
      <c r="F91" s="15">
        <v>1.791</v>
      </c>
      <c r="G91" s="15">
        <v>1.06</v>
      </c>
      <c r="H91" s="15">
        <v>0.274</v>
      </c>
      <c r="I91" s="15">
        <v>0.167</v>
      </c>
      <c r="J91" s="15">
        <v>0.133</v>
      </c>
      <c r="K91" s="15">
        <v>0.315</v>
      </c>
      <c r="L91" s="15">
        <v>8335.0</v>
      </c>
    </row>
    <row r="92">
      <c r="A92" s="22" t="s">
        <v>95</v>
      </c>
      <c r="B92" s="19">
        <v>66.77780023038432</v>
      </c>
      <c r="C92" s="6">
        <f t="shared" si="6"/>
        <v>6.426</v>
      </c>
      <c r="D92" s="15">
        <v>0.067</v>
      </c>
      <c r="E92" s="15">
        <v>0.734</v>
      </c>
      <c r="F92" s="15">
        <v>1.047</v>
      </c>
      <c r="G92" s="15">
        <v>1.2</v>
      </c>
      <c r="H92" s="15">
        <v>0.232</v>
      </c>
      <c r="I92" s="15">
        <v>0.084</v>
      </c>
      <c r="J92" s="15">
        <v>0.102</v>
      </c>
      <c r="K92" s="15">
        <v>0.108</v>
      </c>
      <c r="L92" s="15">
        <v>639.0</v>
      </c>
    </row>
    <row r="93">
      <c r="A93" s="22" t="s">
        <v>96</v>
      </c>
      <c r="B93" s="19">
        <v>66.77780023038432</v>
      </c>
      <c r="C93" s="6">
        <f t="shared" si="6"/>
        <v>5.395</v>
      </c>
      <c r="D93" s="15">
        <v>0.057</v>
      </c>
      <c r="E93" s="15">
        <v>0.245</v>
      </c>
      <c r="F93" s="15">
        <v>1.308</v>
      </c>
      <c r="G93" s="15">
        <v>1.8</v>
      </c>
      <c r="H93" s="15">
        <v>0.063</v>
      </c>
      <c r="I93" s="15">
        <v>0.246</v>
      </c>
      <c r="J93" s="15">
        <v>0.147</v>
      </c>
      <c r="K93" s="15">
        <v>0.739</v>
      </c>
      <c r="L93" s="15">
        <v>3885.0</v>
      </c>
    </row>
    <row r="94">
      <c r="A94" s="22" t="s">
        <v>97</v>
      </c>
      <c r="B94" s="19">
        <v>66.77780023038432</v>
      </c>
      <c r="C94" s="6">
        <f t="shared" si="6"/>
        <v>5.61</v>
      </c>
      <c r="D94" s="15">
        <v>0.065</v>
      </c>
      <c r="E94" s="15">
        <v>0.04</v>
      </c>
      <c r="F94" s="15">
        <v>1.224</v>
      </c>
      <c r="G94" s="15">
        <v>1.9</v>
      </c>
      <c r="H94" s="15">
        <v>0.35</v>
      </c>
      <c r="I94" s="15">
        <v>0.263</v>
      </c>
      <c r="J94" s="15">
        <v>0.077</v>
      </c>
      <c r="K94" s="15">
        <v>0.471</v>
      </c>
      <c r="L94" s="15">
        <v>4190.0</v>
      </c>
    </row>
    <row r="95">
      <c r="A95" s="22" t="s">
        <v>98</v>
      </c>
      <c r="B95" s="19">
        <v>66.77780023038432</v>
      </c>
      <c r="C95" s="6">
        <f t="shared" si="6"/>
        <v>4.354</v>
      </c>
      <c r="D95" s="15">
        <v>0.086</v>
      </c>
      <c r="E95" s="15">
        <v>0.681</v>
      </c>
      <c r="F95" s="15">
        <v>1.716</v>
      </c>
      <c r="G95" s="15">
        <v>2.1</v>
      </c>
      <c r="H95" s="15">
        <v>0.163</v>
      </c>
      <c r="I95" s="15">
        <v>0.278</v>
      </c>
      <c r="J95" s="15">
        <v>0.286</v>
      </c>
      <c r="K95" s="15">
        <v>0.336</v>
      </c>
      <c r="L95" s="15">
        <v>1164.0</v>
      </c>
    </row>
    <row r="96">
      <c r="A96" s="22" t="s">
        <v>99</v>
      </c>
      <c r="B96" s="19">
        <v>66.77780023038432</v>
      </c>
      <c r="C96" s="6">
        <f t="shared" si="6"/>
        <v>4.2</v>
      </c>
      <c r="D96" s="15">
        <v>0.07</v>
      </c>
      <c r="E96" s="15">
        <v>0.694</v>
      </c>
      <c r="F96" s="15">
        <v>0.995</v>
      </c>
      <c r="G96" s="15">
        <v>2.88</v>
      </c>
      <c r="H96" s="15">
        <v>0.109</v>
      </c>
      <c r="I96" s="15">
        <v>0.333</v>
      </c>
      <c r="J96" s="15">
        <v>0.338</v>
      </c>
      <c r="K96" s="15">
        <v>0.381</v>
      </c>
      <c r="L96" s="15">
        <v>795.0</v>
      </c>
    </row>
    <row r="97">
      <c r="A97" s="22" t="s">
        <v>100</v>
      </c>
      <c r="B97" s="19">
        <v>66.77780023038432</v>
      </c>
      <c r="C97" s="6">
        <f t="shared" si="6"/>
        <v>4.694</v>
      </c>
      <c r="D97" s="15">
        <v>0.079</v>
      </c>
      <c r="E97" s="15">
        <v>0.495</v>
      </c>
      <c r="F97" s="15">
        <v>0.953</v>
      </c>
      <c r="G97" s="15">
        <v>3.05</v>
      </c>
      <c r="H97" s="15">
        <v>0.123</v>
      </c>
      <c r="I97" s="15">
        <v>0.348</v>
      </c>
      <c r="J97" s="15">
        <v>0.128</v>
      </c>
      <c r="K97" s="15">
        <v>0.13</v>
      </c>
      <c r="L97" s="15">
        <v>60.0</v>
      </c>
    </row>
    <row r="98">
      <c r="A98" s="22" t="s">
        <v>101</v>
      </c>
      <c r="B98" s="23">
        <v>66.8</v>
      </c>
      <c r="C98" s="6">
        <f t="shared" si="6"/>
        <v>6.374</v>
      </c>
      <c r="D98" s="5">
        <v>0.083</v>
      </c>
      <c r="E98" s="5">
        <v>0.074</v>
      </c>
      <c r="F98" s="5">
        <v>1.225</v>
      </c>
      <c r="G98" s="5">
        <v>1.21</v>
      </c>
      <c r="H98" s="5">
        <v>0.4</v>
      </c>
      <c r="I98" s="5">
        <v>0.075</v>
      </c>
      <c r="J98" s="5">
        <v>0.139</v>
      </c>
      <c r="K98" s="5">
        <v>0.42</v>
      </c>
      <c r="L98" s="15">
        <v>27149.0</v>
      </c>
    </row>
    <row r="99">
      <c r="A99" s="22" t="s">
        <v>102</v>
      </c>
      <c r="B99" s="23">
        <v>66.8</v>
      </c>
      <c r="C99" s="6">
        <f t="shared" si="6"/>
        <v>5.788</v>
      </c>
      <c r="D99" s="5">
        <v>0.083</v>
      </c>
      <c r="E99" s="5">
        <v>0.074</v>
      </c>
      <c r="F99" s="5">
        <v>1.225</v>
      </c>
      <c r="G99" s="5">
        <v>1.21</v>
      </c>
      <c r="H99" s="5">
        <v>0.4</v>
      </c>
      <c r="I99" s="5">
        <v>0.4</v>
      </c>
      <c r="J99" s="5">
        <v>0.4</v>
      </c>
      <c r="K99" s="5">
        <v>0.42</v>
      </c>
      <c r="L99" s="24">
        <v>35274.0</v>
      </c>
    </row>
    <row r="100">
      <c r="A100" s="22" t="s">
        <v>103</v>
      </c>
      <c r="B100" s="23">
        <v>66.8</v>
      </c>
      <c r="C100" s="6">
        <f t="shared" si="6"/>
        <v>6.388</v>
      </c>
      <c r="D100" s="5">
        <v>0.1</v>
      </c>
      <c r="E100" s="5">
        <v>0.074</v>
      </c>
      <c r="F100" s="5">
        <v>1.225</v>
      </c>
      <c r="G100" s="5">
        <v>1.21</v>
      </c>
      <c r="H100" s="5">
        <v>0.283</v>
      </c>
      <c r="I100" s="5">
        <v>0.075</v>
      </c>
      <c r="J100" s="5">
        <v>0.139</v>
      </c>
      <c r="K100" s="5">
        <v>0.506</v>
      </c>
      <c r="L100" s="15">
        <v>18031.0</v>
      </c>
    </row>
    <row r="101">
      <c r="A101" s="22" t="s">
        <v>104</v>
      </c>
      <c r="B101" s="23">
        <v>90.0</v>
      </c>
      <c r="C101" s="6">
        <f t="shared" si="6"/>
        <v>6.491</v>
      </c>
      <c r="D101" s="5">
        <v>0.083</v>
      </c>
      <c r="E101" s="5">
        <v>0.074</v>
      </c>
      <c r="F101" s="5">
        <v>1.225</v>
      </c>
      <c r="G101" s="5">
        <v>1.21</v>
      </c>
      <c r="H101" s="5">
        <v>0.283</v>
      </c>
      <c r="I101" s="5">
        <v>0.075</v>
      </c>
      <c r="J101" s="5">
        <v>0.139</v>
      </c>
      <c r="K101" s="5">
        <v>0.42</v>
      </c>
      <c r="L101" s="15">
        <v>6364.0</v>
      </c>
    </row>
    <row r="102">
      <c r="A102" s="22" t="s">
        <v>105</v>
      </c>
      <c r="B102" s="23">
        <v>90.0</v>
      </c>
      <c r="C102" s="6">
        <f t="shared" si="6"/>
        <v>6.374</v>
      </c>
      <c r="D102" s="5">
        <v>0.083</v>
      </c>
      <c r="E102" s="5">
        <v>0.074</v>
      </c>
      <c r="F102" s="5">
        <v>1.225</v>
      </c>
      <c r="G102" s="5">
        <v>1.21</v>
      </c>
      <c r="H102" s="5">
        <v>0.4</v>
      </c>
      <c r="I102" s="5">
        <v>0.075</v>
      </c>
      <c r="J102" s="5">
        <v>0.139</v>
      </c>
      <c r="K102" s="5">
        <v>0.42</v>
      </c>
      <c r="L102" s="15">
        <v>10722.0</v>
      </c>
    </row>
    <row r="103">
      <c r="A103" s="22" t="s">
        <v>106</v>
      </c>
      <c r="B103" s="23">
        <v>90.0</v>
      </c>
      <c r="C103" s="6">
        <f t="shared" si="6"/>
        <v>5.788</v>
      </c>
      <c r="D103" s="5">
        <v>0.083</v>
      </c>
      <c r="E103" s="5">
        <v>0.074</v>
      </c>
      <c r="F103" s="5">
        <v>1.225</v>
      </c>
      <c r="G103" s="5">
        <v>1.21</v>
      </c>
      <c r="H103" s="5">
        <v>0.4</v>
      </c>
      <c r="I103" s="5">
        <v>0.4</v>
      </c>
      <c r="J103" s="5">
        <v>0.4</v>
      </c>
      <c r="K103" s="5">
        <v>0.42</v>
      </c>
      <c r="L103" s="15">
        <v>30366.0</v>
      </c>
    </row>
    <row r="104">
      <c r="A104" s="22" t="s">
        <v>107</v>
      </c>
      <c r="B104" s="23">
        <v>90.0</v>
      </c>
      <c r="C104" s="6">
        <f t="shared" si="6"/>
        <v>6.388</v>
      </c>
      <c r="D104" s="5">
        <v>0.1</v>
      </c>
      <c r="E104" s="5">
        <v>0.074</v>
      </c>
      <c r="F104" s="5">
        <v>1.225</v>
      </c>
      <c r="G104" s="5">
        <v>1.21</v>
      </c>
      <c r="H104" s="5">
        <v>0.283</v>
      </c>
      <c r="I104" s="5">
        <v>0.075</v>
      </c>
      <c r="J104" s="5">
        <v>0.139</v>
      </c>
      <c r="K104" s="5">
        <v>0.506</v>
      </c>
      <c r="L104" s="15">
        <v>9231.0</v>
      </c>
    </row>
    <row r="105">
      <c r="A105" s="22" t="s">
        <v>108</v>
      </c>
      <c r="B105" s="15">
        <v>66.8</v>
      </c>
      <c r="C105" s="6">
        <f t="shared" si="6"/>
        <v>6.509</v>
      </c>
      <c r="D105" s="15">
        <v>0.082</v>
      </c>
      <c r="E105" s="15">
        <v>0.11</v>
      </c>
      <c r="F105" s="15">
        <v>1.17</v>
      </c>
      <c r="G105" s="15">
        <v>1.18</v>
      </c>
      <c r="H105" s="15">
        <v>0.26</v>
      </c>
      <c r="I105" s="15">
        <v>0.085</v>
      </c>
      <c r="J105" s="15">
        <v>0.166</v>
      </c>
      <c r="K105" s="15">
        <v>0.438</v>
      </c>
      <c r="L105" s="15">
        <v>18414.0</v>
      </c>
    </row>
    <row r="106">
      <c r="A106" s="22" t="s">
        <v>109</v>
      </c>
      <c r="B106" s="15">
        <v>90.0</v>
      </c>
      <c r="C106" s="6">
        <f t="shared" si="6"/>
        <v>4.375</v>
      </c>
      <c r="D106" s="15">
        <v>0.075</v>
      </c>
      <c r="E106" s="15">
        <v>0.74</v>
      </c>
      <c r="F106" s="15">
        <v>0.42</v>
      </c>
      <c r="G106" s="15">
        <v>2.8</v>
      </c>
      <c r="H106" s="15">
        <v>0.3</v>
      </c>
      <c r="I106" s="15">
        <v>0.21</v>
      </c>
      <c r="J106" s="15">
        <v>0.39</v>
      </c>
      <c r="K106" s="15">
        <v>0.69</v>
      </c>
      <c r="L106" s="15">
        <v>3542.0</v>
      </c>
    </row>
    <row r="107">
      <c r="A107" s="22" t="s">
        <v>110</v>
      </c>
      <c r="B107" s="15">
        <v>90.0</v>
      </c>
      <c r="C107" s="6">
        <f t="shared" si="6"/>
        <v>8.232</v>
      </c>
      <c r="D107" s="15">
        <v>0.066</v>
      </c>
      <c r="E107" s="15">
        <v>0.51</v>
      </c>
      <c r="F107" s="15">
        <v>0.065</v>
      </c>
      <c r="G107" s="15">
        <v>0.38</v>
      </c>
      <c r="H107" s="15">
        <v>0.355</v>
      </c>
      <c r="I107" s="15">
        <v>0.177</v>
      </c>
      <c r="J107" s="15">
        <v>0.079</v>
      </c>
      <c r="K107" s="15">
        <v>0.136</v>
      </c>
      <c r="L107" s="15">
        <v>813.0</v>
      </c>
    </row>
    <row r="108">
      <c r="A108" s="21" t="s">
        <v>2</v>
      </c>
      <c r="B108" s="18">
        <v>79.68971573670028</v>
      </c>
      <c r="C108" s="10">
        <f t="shared" si="6"/>
        <v>10</v>
      </c>
      <c r="D108" s="14">
        <v>0.0</v>
      </c>
      <c r="E108" s="14">
        <v>0.0</v>
      </c>
      <c r="F108" s="14">
        <v>0.0</v>
      </c>
      <c r="G108" s="14">
        <v>0.0</v>
      </c>
      <c r="H108" s="14">
        <v>0.0</v>
      </c>
      <c r="I108" s="14">
        <v>0.0</v>
      </c>
      <c r="J108" s="14">
        <v>0.0</v>
      </c>
      <c r="K108" s="14">
        <v>0.0</v>
      </c>
      <c r="L108" s="11">
        <v>14.73265218</v>
      </c>
    </row>
    <row r="109">
      <c r="A109" s="22" t="s">
        <v>111</v>
      </c>
      <c r="B109" s="19">
        <v>79.68971573670028</v>
      </c>
      <c r="C109" s="6">
        <f t="shared" si="6"/>
        <v>7.26</v>
      </c>
      <c r="D109" s="15">
        <v>0.077</v>
      </c>
      <c r="E109" s="15">
        <v>0.64</v>
      </c>
      <c r="F109" s="15">
        <v>0.661</v>
      </c>
      <c r="G109" s="15">
        <v>0.02</v>
      </c>
      <c r="H109" s="15">
        <v>0.297</v>
      </c>
      <c r="I109" s="15">
        <v>0.119</v>
      </c>
      <c r="J109" s="15">
        <v>0.367</v>
      </c>
      <c r="K109" s="15">
        <v>0.559</v>
      </c>
      <c r="L109" s="7">
        <v>2978.319854</v>
      </c>
    </row>
    <row r="110">
      <c r="A110" s="22" t="s">
        <v>112</v>
      </c>
      <c r="B110" s="19">
        <v>79.68971573670028</v>
      </c>
      <c r="C110" s="6">
        <f t="shared" si="6"/>
        <v>7.146</v>
      </c>
      <c r="D110" s="15">
        <v>0.053</v>
      </c>
      <c r="E110" s="15">
        <v>0.762</v>
      </c>
      <c r="F110" s="15">
        <v>0.182</v>
      </c>
      <c r="G110" s="15">
        <v>0.62</v>
      </c>
      <c r="H110" s="15">
        <v>0.053</v>
      </c>
      <c r="I110" s="15">
        <v>0.326</v>
      </c>
      <c r="J110" s="15">
        <v>0.152</v>
      </c>
      <c r="K110" s="15">
        <v>0.706</v>
      </c>
      <c r="L110" s="7">
        <v>2007.139867</v>
      </c>
    </row>
    <row r="111">
      <c r="A111" s="22" t="s">
        <v>113</v>
      </c>
      <c r="B111" s="19">
        <v>79.68971573670028</v>
      </c>
      <c r="C111" s="6">
        <f t="shared" si="6"/>
        <v>5.923</v>
      </c>
      <c r="D111" s="15">
        <v>0.082</v>
      </c>
      <c r="E111" s="15">
        <v>0.053</v>
      </c>
      <c r="F111" s="15">
        <v>1.135</v>
      </c>
      <c r="G111" s="15">
        <v>1.22</v>
      </c>
      <c r="H111" s="15">
        <v>0.4</v>
      </c>
      <c r="I111" s="15">
        <v>0.357</v>
      </c>
      <c r="J111" s="15">
        <v>0.397</v>
      </c>
      <c r="K111" s="15">
        <v>0.433</v>
      </c>
      <c r="L111" s="7">
        <v>5732.994261</v>
      </c>
    </row>
    <row r="112">
      <c r="A112" s="22" t="s">
        <v>114</v>
      </c>
      <c r="B112" s="19">
        <v>79.68971573670028</v>
      </c>
      <c r="C112" s="6">
        <f t="shared" si="6"/>
        <v>5.882</v>
      </c>
      <c r="D112" s="15">
        <v>0.085</v>
      </c>
      <c r="E112" s="15">
        <v>0.084</v>
      </c>
      <c r="F112" s="15">
        <v>1.169</v>
      </c>
      <c r="G112" s="15">
        <v>1.22</v>
      </c>
      <c r="H112" s="15">
        <v>0.4</v>
      </c>
      <c r="I112" s="15">
        <v>0.393</v>
      </c>
      <c r="J112" s="15">
        <v>0.342</v>
      </c>
      <c r="K112" s="15">
        <v>0.425</v>
      </c>
      <c r="L112" s="7">
        <v>6238.891616</v>
      </c>
    </row>
    <row r="113">
      <c r="A113" s="22" t="s">
        <v>115</v>
      </c>
      <c r="B113" s="19">
        <v>79.68971573670028</v>
      </c>
      <c r="C113" s="6">
        <f t="shared" si="6"/>
        <v>5.815</v>
      </c>
      <c r="D113" s="15">
        <v>0.067</v>
      </c>
      <c r="E113" s="15">
        <v>0.248</v>
      </c>
      <c r="F113" s="15">
        <v>1.74</v>
      </c>
      <c r="G113" s="15">
        <v>1.12</v>
      </c>
      <c r="H113" s="15">
        <v>0.37</v>
      </c>
      <c r="I113" s="15">
        <v>0.085</v>
      </c>
      <c r="J113" s="15">
        <v>0.217</v>
      </c>
      <c r="K113" s="15">
        <v>0.338</v>
      </c>
      <c r="L113" s="7">
        <v>3655.310101</v>
      </c>
    </row>
    <row r="114">
      <c r="A114" s="22" t="s">
        <v>116</v>
      </c>
      <c r="B114" s="19">
        <v>79.68971573670028</v>
      </c>
      <c r="C114" s="6">
        <f t="shared" si="6"/>
        <v>5.801</v>
      </c>
      <c r="D114" s="15">
        <v>0.084</v>
      </c>
      <c r="E114" s="15">
        <v>0.114</v>
      </c>
      <c r="F114" s="15">
        <v>1.245</v>
      </c>
      <c r="G114" s="15">
        <v>1.21</v>
      </c>
      <c r="H114" s="15">
        <v>0.4</v>
      </c>
      <c r="I114" s="15">
        <v>0.33</v>
      </c>
      <c r="J114" s="15">
        <v>0.387</v>
      </c>
      <c r="K114" s="15">
        <v>0.429</v>
      </c>
      <c r="L114" s="7">
        <v>7195.27902</v>
      </c>
    </row>
    <row r="115">
      <c r="A115" s="22" t="s">
        <v>117</v>
      </c>
      <c r="B115" s="19">
        <v>79.68971573670028</v>
      </c>
      <c r="C115" s="6">
        <f t="shared" si="6"/>
        <v>5.709</v>
      </c>
      <c r="D115" s="15">
        <v>0.084</v>
      </c>
      <c r="E115" s="15">
        <v>0.055</v>
      </c>
      <c r="F115" s="15">
        <v>1.345</v>
      </c>
      <c r="G115" s="15">
        <v>1.19</v>
      </c>
      <c r="H115" s="15">
        <v>0.4</v>
      </c>
      <c r="I115" s="15">
        <v>0.394</v>
      </c>
      <c r="J115" s="15">
        <v>0.394</v>
      </c>
      <c r="K115" s="15">
        <v>0.429</v>
      </c>
      <c r="L115" s="7">
        <v>7612.615517</v>
      </c>
    </row>
    <row r="116">
      <c r="A116" s="22" t="s">
        <v>118</v>
      </c>
      <c r="B116" s="19">
        <v>79.68971573670028</v>
      </c>
      <c r="C116" s="6">
        <f t="shared" si="6"/>
        <v>5.264</v>
      </c>
      <c r="D116" s="15">
        <v>0.089</v>
      </c>
      <c r="E116" s="15">
        <v>0.105</v>
      </c>
      <c r="F116" s="15">
        <v>2.024</v>
      </c>
      <c r="G116" s="15">
        <v>1.13</v>
      </c>
      <c r="H116" s="15">
        <v>0.392</v>
      </c>
      <c r="I116" s="15">
        <v>0.395</v>
      </c>
      <c r="J116" s="15">
        <v>0.147</v>
      </c>
      <c r="K116" s="15">
        <v>0.454</v>
      </c>
      <c r="L116" s="7">
        <v>14432.59517</v>
      </c>
    </row>
    <row r="117">
      <c r="A117" s="22" t="s">
        <v>119</v>
      </c>
      <c r="B117" s="19">
        <v>79.68971573670028</v>
      </c>
      <c r="C117" s="6">
        <f t="shared" si="6"/>
        <v>4.757</v>
      </c>
      <c r="D117" s="15">
        <v>0.07</v>
      </c>
      <c r="E117" s="15">
        <v>0.249</v>
      </c>
      <c r="F117" s="15">
        <v>0.511</v>
      </c>
      <c r="G117" s="15">
        <v>3.59</v>
      </c>
      <c r="H117" s="15">
        <v>0.094</v>
      </c>
      <c r="I117" s="15">
        <v>0.156</v>
      </c>
      <c r="J117" s="15">
        <v>0.012</v>
      </c>
      <c r="K117" s="15">
        <v>0.561</v>
      </c>
      <c r="L117" s="7">
        <v>3961.971725</v>
      </c>
    </row>
    <row r="118">
      <c r="A118" s="22" t="s">
        <v>120</v>
      </c>
      <c r="B118" s="19">
        <v>79.68971573670028</v>
      </c>
      <c r="C118" s="6">
        <f t="shared" si="6"/>
        <v>4.286</v>
      </c>
      <c r="D118" s="15">
        <v>0.087</v>
      </c>
      <c r="E118" s="15">
        <v>0.043</v>
      </c>
      <c r="F118" s="15">
        <v>0.894</v>
      </c>
      <c r="G118" s="15">
        <v>3.41</v>
      </c>
      <c r="H118" s="15">
        <v>0.104</v>
      </c>
      <c r="I118" s="15">
        <v>0.327</v>
      </c>
      <c r="J118" s="15">
        <v>0.399</v>
      </c>
      <c r="K118" s="15">
        <v>0.45</v>
      </c>
      <c r="L118" s="7">
        <v>684.7657934</v>
      </c>
    </row>
    <row r="119">
      <c r="A119" s="22" t="s">
        <v>121</v>
      </c>
      <c r="B119" s="19">
        <v>79.68971573670028</v>
      </c>
      <c r="C119" s="6">
        <f t="shared" si="6"/>
        <v>4.131</v>
      </c>
      <c r="D119" s="15">
        <v>0.056</v>
      </c>
      <c r="E119" s="15">
        <v>0.534</v>
      </c>
      <c r="F119" s="15">
        <v>1.922</v>
      </c>
      <c r="G119" s="15">
        <v>2.33</v>
      </c>
      <c r="H119" s="15">
        <v>0.156</v>
      </c>
      <c r="I119" s="15">
        <v>0.187</v>
      </c>
      <c r="J119" s="15">
        <v>0.329</v>
      </c>
      <c r="K119" s="15">
        <v>0.355</v>
      </c>
      <c r="L119" s="7">
        <v>1599.465463</v>
      </c>
    </row>
    <row r="120">
      <c r="A120" s="22" t="s">
        <v>122</v>
      </c>
      <c r="B120" s="19">
        <v>79.68971573670028</v>
      </c>
      <c r="C120" s="6">
        <f t="shared" si="6"/>
        <v>3.483</v>
      </c>
      <c r="D120" s="15">
        <v>0.075</v>
      </c>
      <c r="E120" s="15">
        <v>0.397</v>
      </c>
      <c r="F120" s="15">
        <v>1.899</v>
      </c>
      <c r="G120" s="15">
        <v>3.6</v>
      </c>
      <c r="H120" s="15">
        <v>0.338</v>
      </c>
      <c r="I120" s="15">
        <v>0.103</v>
      </c>
      <c r="J120" s="15">
        <v>0.048</v>
      </c>
      <c r="K120" s="15">
        <v>0.057</v>
      </c>
      <c r="L120" s="7">
        <v>70.96243428</v>
      </c>
    </row>
    <row r="121">
      <c r="A121" s="22" t="s">
        <v>123</v>
      </c>
      <c r="B121" s="19">
        <v>79.68971573670028</v>
      </c>
      <c r="C121" s="6">
        <f t="shared" si="6"/>
        <v>3.278</v>
      </c>
      <c r="D121" s="15">
        <v>0.052</v>
      </c>
      <c r="E121" s="15">
        <v>0.058</v>
      </c>
      <c r="F121" s="15">
        <v>1.53</v>
      </c>
      <c r="G121" s="15">
        <v>3.96</v>
      </c>
      <c r="H121" s="15">
        <v>0.074</v>
      </c>
      <c r="I121" s="15">
        <v>0.173</v>
      </c>
      <c r="J121" s="15">
        <v>0.129</v>
      </c>
      <c r="K121" s="15">
        <v>0.746</v>
      </c>
      <c r="L121" s="7">
        <v>72.13765609</v>
      </c>
    </row>
    <row r="122">
      <c r="A122" s="22" t="s">
        <v>124</v>
      </c>
      <c r="B122" s="19">
        <v>79.68971573670028</v>
      </c>
      <c r="C122" s="6">
        <f t="shared" si="6"/>
        <v>3.041</v>
      </c>
      <c r="D122" s="15">
        <v>0.082</v>
      </c>
      <c r="E122" s="15">
        <v>0.623</v>
      </c>
      <c r="F122" s="15">
        <v>1.399</v>
      </c>
      <c r="G122" s="15">
        <v>3.88</v>
      </c>
      <c r="H122" s="15">
        <v>0.048</v>
      </c>
      <c r="I122" s="15">
        <v>0.181</v>
      </c>
      <c r="J122" s="15">
        <v>0.302</v>
      </c>
      <c r="K122" s="15">
        <v>0.444</v>
      </c>
      <c r="L122" s="7">
        <v>244.6183753</v>
      </c>
    </row>
    <row r="123">
      <c r="A123" s="22" t="s">
        <v>125</v>
      </c>
      <c r="B123" s="19">
        <v>79.68971573670028</v>
      </c>
      <c r="C123" s="6">
        <f t="shared" si="6"/>
        <v>2.618</v>
      </c>
      <c r="D123" s="15">
        <v>0.095</v>
      </c>
      <c r="E123" s="15">
        <v>0.221</v>
      </c>
      <c r="F123" s="15">
        <v>1.696</v>
      </c>
      <c r="G123" s="15">
        <v>4.81</v>
      </c>
      <c r="H123" s="15">
        <v>0.143</v>
      </c>
      <c r="I123" s="15">
        <v>0.132</v>
      </c>
      <c r="J123" s="15">
        <v>0.251</v>
      </c>
      <c r="K123" s="15">
        <v>0.034</v>
      </c>
      <c r="L123" s="7">
        <v>30.24889393</v>
      </c>
    </row>
    <row r="124">
      <c r="A124" s="21" t="s">
        <v>126</v>
      </c>
      <c r="B124" s="14">
        <v>80.5</v>
      </c>
      <c r="C124" s="10">
        <f t="shared" si="6"/>
        <v>10</v>
      </c>
      <c r="D124" s="14">
        <v>0.0</v>
      </c>
      <c r="E124" s="14">
        <v>0.0</v>
      </c>
      <c r="F124" s="14">
        <v>0.0</v>
      </c>
      <c r="G124" s="14">
        <v>0.0</v>
      </c>
      <c r="H124" s="14">
        <v>0.0</v>
      </c>
      <c r="I124" s="14">
        <v>0.0</v>
      </c>
      <c r="J124" s="14">
        <v>0.0</v>
      </c>
      <c r="K124" s="14">
        <v>0.0</v>
      </c>
      <c r="L124" s="21"/>
    </row>
    <row r="125">
      <c r="A125" s="22" t="s">
        <v>127</v>
      </c>
      <c r="B125" s="15">
        <v>80.5</v>
      </c>
      <c r="C125" s="6">
        <f t="shared" si="6"/>
        <v>6.219</v>
      </c>
      <c r="D125" s="15">
        <v>0.094</v>
      </c>
      <c r="E125" s="15">
        <v>0.068</v>
      </c>
      <c r="F125" s="15">
        <v>1.186</v>
      </c>
      <c r="G125" s="15">
        <v>1.2</v>
      </c>
      <c r="H125" s="15">
        <v>0.4</v>
      </c>
      <c r="I125" s="15">
        <v>0.145</v>
      </c>
      <c r="J125" s="15">
        <v>0.218</v>
      </c>
      <c r="K125" s="15">
        <v>0.47</v>
      </c>
      <c r="L125" s="15">
        <v>1989.0</v>
      </c>
    </row>
    <row r="126">
      <c r="A126" s="22" t="s">
        <v>128</v>
      </c>
      <c r="B126" s="15">
        <v>80.5</v>
      </c>
      <c r="C126" s="6">
        <f t="shared" si="6"/>
        <v>6.158</v>
      </c>
      <c r="D126" s="15">
        <v>0.082</v>
      </c>
      <c r="E126" s="15">
        <v>0.132</v>
      </c>
      <c r="F126" s="15">
        <v>1.081</v>
      </c>
      <c r="G126" s="15">
        <v>1.2</v>
      </c>
      <c r="H126" s="15">
        <v>0.385</v>
      </c>
      <c r="I126" s="15">
        <v>0.206</v>
      </c>
      <c r="J126" s="15">
        <v>0.278</v>
      </c>
      <c r="K126" s="15">
        <v>0.478</v>
      </c>
      <c r="L126" s="15">
        <v>2492.0</v>
      </c>
    </row>
    <row r="127">
      <c r="A127" s="22" t="s">
        <v>129</v>
      </c>
      <c r="B127" s="15">
        <v>80.5</v>
      </c>
      <c r="C127" s="6">
        <f t="shared" si="6"/>
        <v>6.031</v>
      </c>
      <c r="D127" s="15">
        <v>0.078</v>
      </c>
      <c r="E127" s="15">
        <v>0.097</v>
      </c>
      <c r="F127" s="15">
        <v>1.161</v>
      </c>
      <c r="G127" s="15">
        <v>1.14</v>
      </c>
      <c r="H127" s="15">
        <v>0.4</v>
      </c>
      <c r="I127" s="15">
        <v>0.348</v>
      </c>
      <c r="J127" s="15">
        <v>0.303</v>
      </c>
      <c r="K127" s="15">
        <v>0.442</v>
      </c>
      <c r="L127" s="15">
        <v>3081.0</v>
      </c>
    </row>
    <row r="128">
      <c r="A128" s="22" t="s">
        <v>130</v>
      </c>
      <c r="B128" s="15">
        <v>80.5</v>
      </c>
      <c r="C128" s="6">
        <f t="shared" si="6"/>
        <v>5.988</v>
      </c>
      <c r="D128" s="15">
        <v>0.089</v>
      </c>
      <c r="E128" s="15">
        <v>0.159</v>
      </c>
      <c r="F128" s="15">
        <v>1.318</v>
      </c>
      <c r="G128" s="15">
        <v>1.23</v>
      </c>
      <c r="H128" s="15">
        <v>0.35</v>
      </c>
      <c r="I128" s="15">
        <v>0.175</v>
      </c>
      <c r="J128" s="15">
        <v>0.163</v>
      </c>
      <c r="K128" s="15">
        <v>0.528</v>
      </c>
      <c r="L128" s="15">
        <v>21860.0</v>
      </c>
    </row>
    <row r="129">
      <c r="A129" s="22" t="s">
        <v>131</v>
      </c>
      <c r="B129" s="15">
        <v>80.5</v>
      </c>
      <c r="C129" s="6">
        <f t="shared" si="6"/>
        <v>5.849</v>
      </c>
      <c r="D129" s="15">
        <v>0.09</v>
      </c>
      <c r="E129" s="15">
        <v>0.091</v>
      </c>
      <c r="F129" s="15">
        <v>1.437</v>
      </c>
      <c r="G129" s="15">
        <v>1.26</v>
      </c>
      <c r="H129" s="15">
        <v>0.4</v>
      </c>
      <c r="I129" s="15">
        <v>0.192</v>
      </c>
      <c r="J129" s="15">
        <v>0.218</v>
      </c>
      <c r="K129" s="15">
        <v>0.463</v>
      </c>
      <c r="L129" s="15">
        <v>5477.0</v>
      </c>
    </row>
    <row r="130">
      <c r="A130" s="22" t="s">
        <v>132</v>
      </c>
      <c r="B130" s="15">
        <v>80.5</v>
      </c>
      <c r="C130" s="6">
        <f t="shared" si="6"/>
        <v>5.846</v>
      </c>
      <c r="D130" s="15">
        <v>0.084</v>
      </c>
      <c r="E130" s="15">
        <v>0.083</v>
      </c>
      <c r="F130" s="15">
        <v>1.102</v>
      </c>
      <c r="G130" s="15">
        <v>1.27</v>
      </c>
      <c r="H130" s="15">
        <v>0.393</v>
      </c>
      <c r="I130" s="15">
        <v>0.337</v>
      </c>
      <c r="J130" s="15">
        <v>0.373</v>
      </c>
      <c r="K130" s="15">
        <v>0.512</v>
      </c>
      <c r="L130" s="15">
        <v>5397.0</v>
      </c>
    </row>
    <row r="131">
      <c r="A131" s="22" t="s">
        <v>133</v>
      </c>
      <c r="B131" s="15">
        <v>80.5</v>
      </c>
      <c r="C131" s="6">
        <f t="shared" si="6"/>
        <v>5.801</v>
      </c>
      <c r="D131" s="15">
        <v>0.087</v>
      </c>
      <c r="E131" s="15">
        <v>0.09</v>
      </c>
      <c r="F131" s="15">
        <v>1.089</v>
      </c>
      <c r="G131" s="15">
        <v>1.34</v>
      </c>
      <c r="H131" s="15">
        <v>0.4</v>
      </c>
      <c r="I131" s="15">
        <v>0.4</v>
      </c>
      <c r="J131" s="15">
        <v>0.396</v>
      </c>
      <c r="K131" s="15">
        <v>0.397</v>
      </c>
      <c r="L131" s="15">
        <v>4707.0</v>
      </c>
    </row>
    <row r="132">
      <c r="A132" s="22" t="s">
        <v>134</v>
      </c>
      <c r="B132" s="15">
        <v>80.5</v>
      </c>
      <c r="C132" s="6">
        <f t="shared" si="6"/>
        <v>5.663</v>
      </c>
      <c r="D132" s="15">
        <v>0.09</v>
      </c>
      <c r="E132" s="15">
        <v>0.068</v>
      </c>
      <c r="F132" s="15">
        <v>1.59</v>
      </c>
      <c r="G132" s="15">
        <v>1.14</v>
      </c>
      <c r="H132" s="15">
        <v>0.4</v>
      </c>
      <c r="I132" s="15">
        <v>0.316</v>
      </c>
      <c r="J132" s="15">
        <v>0.34</v>
      </c>
      <c r="K132" s="15">
        <v>0.393</v>
      </c>
      <c r="L132" s="15">
        <v>3348.0</v>
      </c>
    </row>
    <row r="133">
      <c r="A133" s="22" t="s">
        <v>135</v>
      </c>
      <c r="B133" s="15">
        <v>80.5</v>
      </c>
      <c r="C133" s="6">
        <f t="shared" si="6"/>
        <v>5.623</v>
      </c>
      <c r="D133" s="15">
        <v>0.084</v>
      </c>
      <c r="E133" s="15">
        <v>0.068</v>
      </c>
      <c r="F133" s="15">
        <v>1.468</v>
      </c>
      <c r="G133" s="15">
        <v>1.26</v>
      </c>
      <c r="H133" s="15">
        <v>0.4</v>
      </c>
      <c r="I133" s="15">
        <v>0.4</v>
      </c>
      <c r="J133" s="15">
        <v>0.264</v>
      </c>
      <c r="K133" s="15">
        <v>0.433</v>
      </c>
      <c r="L133" s="15">
        <v>4689.0</v>
      </c>
    </row>
    <row r="134">
      <c r="A134" s="22" t="s">
        <v>136</v>
      </c>
      <c r="B134" s="15">
        <v>80.5</v>
      </c>
      <c r="C134" s="6">
        <f t="shared" si="6"/>
        <v>5.614</v>
      </c>
      <c r="D134" s="15">
        <v>0.085</v>
      </c>
      <c r="E134" s="15">
        <v>0.111</v>
      </c>
      <c r="F134" s="15">
        <v>1.435</v>
      </c>
      <c r="G134" s="15">
        <v>1.2</v>
      </c>
      <c r="H134" s="15">
        <v>0.336</v>
      </c>
      <c r="I134" s="15">
        <v>0.4</v>
      </c>
      <c r="J134" s="15">
        <v>0.371</v>
      </c>
      <c r="K134" s="15">
        <v>0.448</v>
      </c>
      <c r="L134" s="15">
        <v>3998.0</v>
      </c>
    </row>
    <row r="135">
      <c r="A135" s="22" t="s">
        <v>137</v>
      </c>
      <c r="B135" s="15">
        <v>80.5</v>
      </c>
      <c r="C135" s="6">
        <f t="shared" si="6"/>
        <v>3.585</v>
      </c>
      <c r="D135" s="15">
        <v>0.066</v>
      </c>
      <c r="E135" s="15">
        <v>0.231</v>
      </c>
      <c r="F135" s="15">
        <v>2.025</v>
      </c>
      <c r="G135" s="15">
        <v>3.42</v>
      </c>
      <c r="H135" s="15">
        <v>0.173</v>
      </c>
      <c r="I135" s="15">
        <v>0.192</v>
      </c>
      <c r="J135" s="15">
        <v>0.214</v>
      </c>
      <c r="K135" s="15">
        <v>0.094</v>
      </c>
      <c r="L135" s="15">
        <v>455.0</v>
      </c>
    </row>
    <row r="136">
      <c r="A136" s="22" t="s">
        <v>138</v>
      </c>
      <c r="B136" s="15">
        <v>80.5</v>
      </c>
      <c r="C136" s="6">
        <f t="shared" si="6"/>
        <v>2.856</v>
      </c>
      <c r="D136" s="15">
        <v>0.089</v>
      </c>
      <c r="E136" s="15">
        <v>0.403</v>
      </c>
      <c r="F136" s="15">
        <v>1.216</v>
      </c>
      <c r="G136" s="15">
        <v>4.5</v>
      </c>
      <c r="H136" s="15">
        <v>0.2</v>
      </c>
      <c r="I136" s="15">
        <v>0.176</v>
      </c>
      <c r="J136" s="15">
        <v>0.062</v>
      </c>
      <c r="K136" s="15">
        <v>0.498</v>
      </c>
      <c r="L136" s="15">
        <v>254.0</v>
      </c>
    </row>
    <row r="137">
      <c r="A137" s="22" t="s">
        <v>139</v>
      </c>
      <c r="B137" s="15">
        <v>80.5</v>
      </c>
      <c r="C137" s="6">
        <f t="shared" si="6"/>
        <v>2.746</v>
      </c>
      <c r="D137" s="15">
        <v>0.084</v>
      </c>
      <c r="E137" s="15">
        <v>0.485</v>
      </c>
      <c r="F137" s="15">
        <v>1.699</v>
      </c>
      <c r="G137" s="15">
        <v>3.44</v>
      </c>
      <c r="H137" s="15">
        <v>0.365</v>
      </c>
      <c r="I137" s="15">
        <v>0.344</v>
      </c>
      <c r="J137" s="15">
        <v>0.202</v>
      </c>
      <c r="K137" s="15">
        <v>0.635</v>
      </c>
      <c r="L137" s="15">
        <v>1692.0</v>
      </c>
    </row>
    <row r="138">
      <c r="A138" s="22" t="s">
        <v>140</v>
      </c>
      <c r="B138" s="15">
        <v>80.5</v>
      </c>
      <c r="C138" s="6">
        <f t="shared" si="6"/>
        <v>2.546</v>
      </c>
      <c r="D138" s="15">
        <v>0.055</v>
      </c>
      <c r="E138" s="15">
        <v>0.0</v>
      </c>
      <c r="F138" s="15">
        <v>1.951</v>
      </c>
      <c r="G138" s="15">
        <v>4.27</v>
      </c>
      <c r="H138" s="15">
        <v>0.065</v>
      </c>
      <c r="I138" s="15">
        <v>0.355</v>
      </c>
      <c r="J138" s="15">
        <v>0.109</v>
      </c>
      <c r="K138" s="15">
        <v>0.649</v>
      </c>
      <c r="L138" s="15">
        <v>0.0</v>
      </c>
    </row>
    <row r="139">
      <c r="A139" s="22" t="s">
        <v>141</v>
      </c>
      <c r="B139" s="15">
        <v>80.5</v>
      </c>
      <c r="C139" s="6">
        <f t="shared" si="6"/>
        <v>2.478</v>
      </c>
      <c r="D139" s="15">
        <v>0.096</v>
      </c>
      <c r="E139" s="15">
        <v>0.434</v>
      </c>
      <c r="F139" s="15">
        <v>1.652</v>
      </c>
      <c r="G139" s="15">
        <v>4.45</v>
      </c>
      <c r="H139" s="15">
        <v>0.137</v>
      </c>
      <c r="I139" s="15">
        <v>0.19</v>
      </c>
      <c r="J139" s="15">
        <v>0.115</v>
      </c>
      <c r="K139" s="15">
        <v>0.448</v>
      </c>
      <c r="L139" s="15">
        <v>517.0</v>
      </c>
    </row>
    <row r="140">
      <c r="A140" s="22" t="s">
        <v>142</v>
      </c>
      <c r="B140" s="15">
        <v>66.8</v>
      </c>
      <c r="C140" s="6">
        <f t="shared" si="6"/>
        <v>5.771</v>
      </c>
      <c r="D140" s="15">
        <v>0.1</v>
      </c>
      <c r="E140" s="15">
        <v>0.074</v>
      </c>
      <c r="F140" s="15">
        <v>1.225</v>
      </c>
      <c r="G140" s="15">
        <v>1.21</v>
      </c>
      <c r="H140" s="15">
        <v>0.4</v>
      </c>
      <c r="I140" s="15">
        <v>0.4</v>
      </c>
      <c r="J140" s="15">
        <v>0.4</v>
      </c>
      <c r="K140" s="15">
        <v>0.42</v>
      </c>
      <c r="L140" s="15">
        <v>10050.0</v>
      </c>
    </row>
    <row r="141">
      <c r="A141" s="22" t="s">
        <v>143</v>
      </c>
      <c r="B141" s="15">
        <v>66.8</v>
      </c>
      <c r="C141" s="6">
        <f t="shared" si="6"/>
        <v>5.685</v>
      </c>
      <c r="D141" s="15">
        <v>0.1</v>
      </c>
      <c r="E141" s="15">
        <v>0.074</v>
      </c>
      <c r="F141" s="15">
        <v>1.225</v>
      </c>
      <c r="G141" s="15">
        <v>1.21</v>
      </c>
      <c r="H141" s="15">
        <v>0.4</v>
      </c>
      <c r="I141" s="15">
        <v>0.4</v>
      </c>
      <c r="J141" s="15">
        <v>0.4</v>
      </c>
      <c r="K141" s="15">
        <v>0.506</v>
      </c>
      <c r="L141" s="15">
        <v>6575.0</v>
      </c>
    </row>
    <row r="142">
      <c r="A142" s="22" t="s">
        <v>144</v>
      </c>
      <c r="B142" s="15">
        <v>66.8</v>
      </c>
      <c r="C142" s="6">
        <f t="shared" si="6"/>
        <v>6.981</v>
      </c>
      <c r="D142" s="15">
        <v>0.1</v>
      </c>
      <c r="E142" s="15">
        <v>0.074</v>
      </c>
      <c r="F142" s="15">
        <v>1.225</v>
      </c>
      <c r="G142" s="15">
        <v>0.0</v>
      </c>
      <c r="H142" s="15">
        <v>0.4</v>
      </c>
      <c r="I142" s="15">
        <v>0.4</v>
      </c>
      <c r="J142" s="15">
        <v>0.4</v>
      </c>
      <c r="K142" s="15">
        <v>0.42</v>
      </c>
      <c r="L142" s="15">
        <v>2802.0</v>
      </c>
    </row>
    <row r="143">
      <c r="A143" s="22" t="s">
        <v>145</v>
      </c>
      <c r="B143" s="15">
        <v>66.8</v>
      </c>
      <c r="C143" s="6">
        <f t="shared" si="6"/>
        <v>5.845</v>
      </c>
      <c r="D143" s="15">
        <v>0.1</v>
      </c>
      <c r="E143" s="15">
        <v>0.0</v>
      </c>
      <c r="F143" s="15">
        <v>1.225</v>
      </c>
      <c r="G143" s="15">
        <v>1.21</v>
      </c>
      <c r="H143" s="15">
        <v>0.4</v>
      </c>
      <c r="I143" s="15">
        <v>0.4</v>
      </c>
      <c r="J143" s="15">
        <v>0.4</v>
      </c>
      <c r="K143" s="15">
        <v>0.42</v>
      </c>
      <c r="L143" s="15">
        <v>5719.0</v>
      </c>
    </row>
    <row r="144">
      <c r="A144" s="22" t="s">
        <v>146</v>
      </c>
      <c r="B144" s="15">
        <v>66.8</v>
      </c>
      <c r="C144" s="6">
        <f t="shared" si="6"/>
        <v>6.396</v>
      </c>
      <c r="D144" s="15">
        <v>0.1</v>
      </c>
      <c r="E144" s="15">
        <v>0.074</v>
      </c>
      <c r="F144" s="15">
        <v>0.6</v>
      </c>
      <c r="G144" s="15">
        <v>1.21</v>
      </c>
      <c r="H144" s="15">
        <v>0.4</v>
      </c>
      <c r="I144" s="15">
        <v>0.4</v>
      </c>
      <c r="J144" s="15">
        <v>0.4</v>
      </c>
      <c r="K144" s="15">
        <v>0.42</v>
      </c>
      <c r="L144" s="15">
        <v>17605.0</v>
      </c>
    </row>
    <row r="145">
      <c r="A145" s="22" t="s">
        <v>147</v>
      </c>
      <c r="B145" s="15">
        <v>66.8</v>
      </c>
      <c r="C145" s="6">
        <f t="shared" si="6"/>
        <v>8.06</v>
      </c>
      <c r="D145" s="15">
        <v>0.09</v>
      </c>
      <c r="E145" s="15">
        <v>0.0</v>
      </c>
      <c r="F145" s="15">
        <v>0.5</v>
      </c>
      <c r="G145" s="15">
        <v>0.0</v>
      </c>
      <c r="H145" s="15">
        <v>0.4</v>
      </c>
      <c r="I145" s="15">
        <v>0.1</v>
      </c>
      <c r="J145" s="15">
        <v>0.25</v>
      </c>
      <c r="K145" s="15">
        <v>0.6</v>
      </c>
      <c r="L145" s="15">
        <v>4329.0</v>
      </c>
    </row>
    <row r="146">
      <c r="A146" s="22" t="s">
        <v>148</v>
      </c>
      <c r="B146" s="15">
        <v>66.8</v>
      </c>
      <c r="C146" s="6">
        <f t="shared" si="6"/>
        <v>6.92</v>
      </c>
      <c r="D146" s="25">
        <v>0.1</v>
      </c>
      <c r="E146" s="25">
        <v>0.0</v>
      </c>
      <c r="F146" s="25">
        <v>1.2</v>
      </c>
      <c r="G146" s="25">
        <v>0.1</v>
      </c>
      <c r="H146" s="25">
        <v>0.36</v>
      </c>
      <c r="I146" s="25">
        <v>0.3</v>
      </c>
      <c r="J146" s="25">
        <v>0.3</v>
      </c>
      <c r="K146" s="25">
        <v>0.72</v>
      </c>
      <c r="L146" s="15">
        <v>8440.0</v>
      </c>
    </row>
  </sheetData>
  <drawing r:id="rId1"/>
</worksheet>
</file>